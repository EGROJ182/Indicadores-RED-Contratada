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Proyectos\Indicadores\ADRIANA\"/>
    </mc:Choice>
  </mc:AlternateContent>
  <xr:revisionPtr revIDLastSave="0" documentId="13_ncr:1_{CCDA348B-45F8-46E9-9861-CC0819AC2AFA}" xr6:coauthVersionLast="47" xr6:coauthVersionMax="47" xr10:uidLastSave="{00000000-0000-0000-0000-000000000000}"/>
  <bookViews>
    <workbookView xWindow="-120" yWindow="-120" windowWidth="20730" windowHeight="11760" xr2:uid="{B31564E5-3F0B-406C-B018-3318DA730C00}"/>
  </bookViews>
  <sheets>
    <sheet name="Hoja1" sheetId="1" r:id="rId1"/>
    <sheet name="Hoja2" sheetId="5" r:id="rId2"/>
  </sheets>
  <externalReferences>
    <externalReference r:id="rId3"/>
  </externalReferences>
  <definedNames>
    <definedName name="_xlnm._FilterDatabase" localSheetId="0" hidden="1">Hoja1!$A$3:$S$155</definedName>
    <definedName name="_xlnm._FilterDatabase" localSheetId="1" hidden="1">Hoja2!$A$1:$B$1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 i="1" l="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4" i="1"/>
</calcChain>
</file>

<file path=xl/sharedStrings.xml><?xml version="1.0" encoding="utf-8"?>
<sst xmlns="http://schemas.openxmlformats.org/spreadsheetml/2006/main" count="3104" uniqueCount="981">
  <si>
    <t>ANEXO TÉCNICO 9</t>
  </si>
  <si>
    <t xml:space="preserve">NOMBRE DEL INDICADOR </t>
  </si>
  <si>
    <t xml:space="preserve">TIPO INDICADOR </t>
  </si>
  <si>
    <t xml:space="preserve">DEFINICIÓN </t>
  </si>
  <si>
    <t xml:space="preserve">FORMA DE CALCULO </t>
  </si>
  <si>
    <t xml:space="preserve">NUMERADOR </t>
  </si>
  <si>
    <t xml:space="preserve">FUENTE DEL NUMERADOR </t>
  </si>
  <si>
    <t xml:space="preserve">DENOMINADOR </t>
  </si>
  <si>
    <t xml:space="preserve">FUENTE DEL DENOMINADOR </t>
  </si>
  <si>
    <t xml:space="preserve">COMPONENTES DE LA FÓRMULA DE CÁLCULO </t>
  </si>
  <si>
    <t xml:space="preserve">UNIDAD DE MEDIDA </t>
  </si>
  <si>
    <t xml:space="preserve">PERIODICIDAD </t>
  </si>
  <si>
    <t xml:space="preserve">SUSTENTO NORMATIVO/ REFERENCIA </t>
  </si>
  <si>
    <t xml:space="preserve">OBSERVACIONES </t>
  </si>
  <si>
    <t>Tiempo Promedio de espera para la asignación de cita de Medicina general</t>
  </si>
  <si>
    <t>Expresa el tiempo de espera en días calendario que trascurre entre el primer contacto con la EAPB para la asignación de la cita de primera vez por medicina general y la fecha en que es asignada la cita</t>
  </si>
  <si>
    <t>Cociente entre la sumatoria de la diferencia de los días calendario, entre la fecha en la que se asignó la cita de Medicina general de primera vez y la fecha en la cual el usuario la solicitó y el numero total de citas de Medicina general de primera vez asignadas en un periodo determinado</t>
  </si>
  <si>
    <t>Número total de citas de Medicina general de primera vez asignadas en un período determinado</t>
  </si>
  <si>
    <t>Días</t>
  </si>
  <si>
    <t>Semestral</t>
  </si>
  <si>
    <t>Ley 1468 de 2011 – Ley 715 de 2001 – Decreto Ley 019 de 2012- Resolución 1552 de 2013 – Resolución 056 de 2016</t>
  </si>
  <si>
    <t>La consulta de primera vez, hace referencia a la primera consulta del paciente que se registra por primera vez en el año, razón por la cual se excluye la consulta de control</t>
  </si>
  <si>
    <t>Tiempo Promedio de espera para la asignación de Odontología general</t>
  </si>
  <si>
    <t>Expresa el tiempo de espera en días calendario, que trascurre entre el primer contacto con la EAPB para la asignación de la cita de primera vez por odontología General y la fecha en que es asignada la cita</t>
  </si>
  <si>
    <t>Sumatoria de la diferencia de la diferencia de los días calendario entre la fecha en la que se asignó la cita de Odontología general de primera vez y la fecha en la cual el usuario la solicitó</t>
  </si>
  <si>
    <t>Número total de citas de Odontología general primera vez asignadas en un período determinado</t>
  </si>
  <si>
    <t>Tiempo Promedio de espera la autorización de Resonancia Magnética</t>
  </si>
  <si>
    <t>Expresa el tiempo de espera en días calendario, que trascurre entre la fecha de solicitud de autorización para la toma de una Resonancia Magnética Nuclear por parte del paciente/usuario y la fecha en que es autorizada por la EAPB</t>
  </si>
  <si>
    <t>Cociente entre la sumatoria de la diferencia de los días calendario, entre la fecha en la que se autoriza la Resonancia Magnética Nuclear y la fecha en la que se radica la orden y el número total de Resonancia Magnética Nuclear autorizadas en un período determinado</t>
  </si>
  <si>
    <t>Sumatoria de la diferencia de la diferencia de los días calendario entre la fecha en la que autoriza la Resonancia Magnética Nuclear y la fecha en la que se radica la orden</t>
  </si>
  <si>
    <t>Número total de Resonancia Magnética Nuclear autorizadas en un período determinado</t>
  </si>
  <si>
    <t>Ley 1468 de 2011 – Ley 715 de 2001 – Decreto Ley 019 de 2012- Resolución 1552 de 2013 – Resolución 056 de 201</t>
  </si>
  <si>
    <t xml:space="preserve">Ninguna </t>
  </si>
  <si>
    <t>Seguridad</t>
  </si>
  <si>
    <t>Tasa de incidencia de eventos adversos asociados a estancia intrahospitalaria y atención en el servicio de urgencias</t>
  </si>
  <si>
    <t>Es un estimador del riesgo de materialización de eventos adversos asociados a la estancia y atención intrahospitalaria, de igual forma a las posibles complicaciones que se pueden registrar durante la atención en el servicio de urgencias</t>
  </si>
  <si>
    <t>Cociente entre ISTU – AC nuevas / en  un mes de seguimiento x 1000 días de ventilador, ITS AC/ un mes de seguimiento x 1000 días con catéter central, total de pacientes hospitalizados que sufren caídas en hospitalización/ la sumatoria de días de estancia de pacientes en los servicios de hospitalización x 1000, sufren caídas en el servicio de urgencias y el total de personas atendidas en urgencias en el periodo x 1000, caídas en el servicio de consulta externa y el total de personas atendidas en consulta externa en el periodo x 1000, caídas en los servicios de apoyo diagnóstico y el total de personas atendidas en apoyo diagnóstico y complementación terapéutica en el periodo por 1000, eventos adversos relacionados con la administración de medicamentos en hospitalización y el total de egresos de hospitalización en el período x 100 expresado como porcentaje – servicio de urgencias y el total de personas atendidas en urgencias en el periodo x 100 expresado como porcentaje, pacientes que desarrollan úlceras por presión en la institución de atención médica y la sumatoria de días de estancia de los pacientes en los servicios de hospitalización por 1000</t>
  </si>
  <si>
    <t>Sumatoria de la diferencia de los días calendario entre la fecha en la que se asignó la cita de medicina general de primera vez y la fecha en la cual el usuario la solicitó</t>
  </si>
  <si>
    <t>Resolución 2003 de 2014 y demás disposiciones vigentes.  Política de Seguridad de Paciente – Resolución 056 de 2016</t>
  </si>
  <si>
    <r>
      <t>·</t>
    </r>
    <r>
      <rPr>
        <sz val="7"/>
        <color rgb="FF000000"/>
        <rFont val="Times New Roman"/>
        <family val="1"/>
      </rPr>
      <t xml:space="preserve">       </t>
    </r>
    <r>
      <rPr>
        <sz val="10"/>
        <color rgb="FF000000"/>
        <rFont val="Arial"/>
        <family val="2"/>
      </rPr>
      <t>Neumonía Asociada a Ventilación mecánica “Sólo aplica para Uci adulto, Uci pediátrica, UCI neonatal</t>
    </r>
  </si>
  <si>
    <r>
      <t>·</t>
    </r>
    <r>
      <rPr>
        <sz val="7"/>
        <color rgb="FF000000"/>
        <rFont val="Times New Roman"/>
        <family val="1"/>
      </rPr>
      <t xml:space="preserve">       </t>
    </r>
    <r>
      <rPr>
        <sz val="10"/>
        <color rgb="FF000000"/>
        <rFont val="Arial"/>
        <family val="2"/>
      </rPr>
      <t>Infección del Tracto urinario Asociado a Catéter “Sólo aplica para Uci adulto, Uci pediátrica”</t>
    </r>
  </si>
  <si>
    <r>
      <t>·</t>
    </r>
    <r>
      <rPr>
        <sz val="7"/>
        <color rgb="FF000000"/>
        <rFont val="Times New Roman"/>
        <family val="1"/>
      </rPr>
      <t xml:space="preserve">       </t>
    </r>
    <r>
      <rPr>
        <sz val="10"/>
        <color rgb="FF000000"/>
        <rFont val="Arial"/>
        <family val="2"/>
      </rPr>
      <t>Infección torrente sanguíneo Asociada a Catéter “Sólo aplica para Uci adulto, Uci pediátrica, UCI neonatal”</t>
    </r>
  </si>
  <si>
    <r>
      <t>·</t>
    </r>
    <r>
      <rPr>
        <sz val="7"/>
        <color rgb="FF000000"/>
        <rFont val="Times New Roman"/>
        <family val="1"/>
      </rPr>
      <t xml:space="preserve">       </t>
    </r>
    <r>
      <rPr>
        <sz val="10"/>
        <color rgb="FF000000"/>
        <rFont val="Arial"/>
        <family val="2"/>
      </rPr>
      <t>Caída de pacientes en hospitalización “Aplica para IPS, no aplica para los servicios de transporte especial de pacientes”</t>
    </r>
  </si>
  <si>
    <r>
      <t>·</t>
    </r>
    <r>
      <rPr>
        <sz val="7"/>
        <color rgb="FF000000"/>
        <rFont val="Times New Roman"/>
        <family val="1"/>
      </rPr>
      <t xml:space="preserve">       </t>
    </r>
    <r>
      <rPr>
        <sz val="10"/>
        <color rgb="FF000000"/>
        <rFont val="Arial"/>
        <family val="2"/>
      </rPr>
      <t xml:space="preserve">Caída de pacientes en el servicio de urgencias “Aplica para IPS, no aplica para los servicios de transporte especial de pacientes </t>
    </r>
  </si>
  <si>
    <r>
      <t>·</t>
    </r>
    <r>
      <rPr>
        <sz val="7"/>
        <color rgb="FF000000"/>
        <rFont val="Times New Roman"/>
        <family val="1"/>
      </rPr>
      <t xml:space="preserve">       </t>
    </r>
    <r>
      <rPr>
        <sz val="10"/>
        <color rgb="FF000000"/>
        <rFont val="Arial"/>
        <family val="2"/>
      </rPr>
      <t>Caída de pacientes en el servicio de consulta externa “Aplica para IPS, no aplica para los servicios de transporte especial de pacientes”</t>
    </r>
  </si>
  <si>
    <r>
      <t>·</t>
    </r>
    <r>
      <rPr>
        <sz val="7"/>
        <color rgb="FF000000"/>
        <rFont val="Times New Roman"/>
        <family val="1"/>
      </rPr>
      <t xml:space="preserve">       </t>
    </r>
    <r>
      <rPr>
        <sz val="10"/>
        <color rgb="FF000000"/>
        <rFont val="Arial"/>
        <family val="2"/>
      </rPr>
      <t>Caída de pacientes en el servicio de apoyo diagnóstico y complementación terapéutica “Aplica para IPS, no aplica para los servicios de transporte especial de pacientes”</t>
    </r>
  </si>
  <si>
    <r>
      <t>·</t>
    </r>
    <r>
      <rPr>
        <sz val="7"/>
        <color rgb="FF000000"/>
        <rFont val="Times New Roman"/>
        <family val="1"/>
      </rPr>
      <t xml:space="preserve">       </t>
    </r>
    <r>
      <rPr>
        <sz val="10"/>
        <color rgb="FF000000"/>
        <rFont val="Arial"/>
        <family val="2"/>
      </rPr>
      <t>Eventos adversos relacionados con la administración de medicamentos en hospitalización – urgencias “Para este indicador el evento adverso solo corresponde a la etapa de administración de medicamentos. Aplica sólo para IPS”</t>
    </r>
  </si>
  <si>
    <r>
      <t>Tasa de úlceras por presión</t>
    </r>
    <r>
      <rPr>
        <sz val="10"/>
        <color rgb="FF000000"/>
        <rFont val="Arial"/>
        <family val="2"/>
      </rPr>
      <t xml:space="preserve"> “No aplica con diagnostico principal de ulcera por presión o diagnostico secundario presente al ingreso-   Pacientes con diagnóstico de hemiplejia, paraplejia y tetraplejia o con diagnóstico de espina bífida o daño cerebral por anoxia. Aplica para IPS y no aplica para los servicios de transporte especial de pacientes</t>
    </r>
  </si>
  <si>
    <r>
      <t>·</t>
    </r>
    <r>
      <rPr>
        <sz val="7"/>
        <color rgb="FF000000"/>
        <rFont val="Times New Roman"/>
        <family val="1"/>
      </rPr>
      <t xml:space="preserve">       </t>
    </r>
    <r>
      <rPr>
        <sz val="10"/>
        <color rgb="FF000000"/>
        <rFont val="Arial"/>
        <family val="2"/>
      </rPr>
      <t>Neumonía Asociada a Ventilación mecánica “Numero de dias ventilador mecánico en UCI”</t>
    </r>
  </si>
  <si>
    <r>
      <t>·</t>
    </r>
    <r>
      <rPr>
        <sz val="7"/>
        <color rgb="FF000000"/>
        <rFont val="Times New Roman"/>
        <family val="1"/>
      </rPr>
      <t xml:space="preserve">       </t>
    </r>
    <r>
      <rPr>
        <sz val="10"/>
        <color rgb="FF000000"/>
        <rFont val="Arial"/>
        <family val="2"/>
      </rPr>
      <t>Infección del Tracto urinario Asociado a Catéter “Numero de dias catéter urinario en UCI en un mes de seguimiento”</t>
    </r>
  </si>
  <si>
    <r>
      <t>·</t>
    </r>
    <r>
      <rPr>
        <sz val="7"/>
        <color rgb="FF000000"/>
        <rFont val="Times New Roman"/>
        <family val="1"/>
      </rPr>
      <t xml:space="preserve">       </t>
    </r>
    <r>
      <rPr>
        <sz val="10"/>
        <color rgb="FF000000"/>
        <rFont val="Arial"/>
        <family val="2"/>
      </rPr>
      <t>Infección torrente sanguíneo Asociada a Catéter “Numero de dias catéter central en UCI en un mes de seguimiento”</t>
    </r>
  </si>
  <si>
    <r>
      <t>·</t>
    </r>
    <r>
      <rPr>
        <sz val="7"/>
        <color rgb="FF000000"/>
        <rFont val="Times New Roman"/>
        <family val="1"/>
      </rPr>
      <t xml:space="preserve">       </t>
    </r>
    <r>
      <rPr>
        <sz val="10"/>
        <color rgb="FF000000"/>
        <rFont val="Arial"/>
        <family val="2"/>
      </rPr>
      <t>Caída de pacientes en hospitalización “Sumatoria de dias de estancia de los pacientes de hospitalización en el periodo”</t>
    </r>
  </si>
  <si>
    <r>
      <t>·</t>
    </r>
    <r>
      <rPr>
        <sz val="7"/>
        <color rgb="FF000000"/>
        <rFont val="Times New Roman"/>
        <family val="1"/>
      </rPr>
      <t xml:space="preserve">       </t>
    </r>
    <r>
      <rPr>
        <sz val="10"/>
        <color rgb="FF000000"/>
        <rFont val="Arial"/>
        <family val="2"/>
      </rPr>
      <t>Caída de pacientes en el servicio de urgencias “Total de personas atendidas en urgencias en el periodo”</t>
    </r>
  </si>
  <si>
    <r>
      <t>·</t>
    </r>
    <r>
      <rPr>
        <sz val="7"/>
        <color rgb="FF000000"/>
        <rFont val="Times New Roman"/>
        <family val="1"/>
      </rPr>
      <t xml:space="preserve">       </t>
    </r>
    <r>
      <rPr>
        <sz val="10"/>
        <color rgb="FF000000"/>
        <rFont val="Arial"/>
        <family val="2"/>
      </rPr>
      <t>Caída de pacientes en el servicio de consulta externa “Total de personas atendidas en consulta externa”</t>
    </r>
  </si>
  <si>
    <r>
      <t>·</t>
    </r>
    <r>
      <rPr>
        <sz val="7"/>
        <color rgb="FF000000"/>
        <rFont val="Times New Roman"/>
        <family val="1"/>
      </rPr>
      <t xml:space="preserve">       </t>
    </r>
    <r>
      <rPr>
        <sz val="10"/>
        <color rgb="FF000000"/>
        <rFont val="Arial"/>
        <family val="2"/>
      </rPr>
      <t>Caída de pacientes en el servicio de apoyo diagnóstico y complementación terapéutica “Total de personas atendidas en el servicio de apoyo diagnóstico y complementación terapéutica”</t>
    </r>
  </si>
  <si>
    <r>
      <t>·</t>
    </r>
    <r>
      <rPr>
        <sz val="7"/>
        <color rgb="FF000000"/>
        <rFont val="Times New Roman"/>
        <family val="1"/>
      </rPr>
      <t xml:space="preserve">       </t>
    </r>
    <r>
      <rPr>
        <sz val="10"/>
        <color rgb="FF000000"/>
        <rFont val="Arial"/>
        <family val="2"/>
      </rPr>
      <t>Eventos adversos relacionados con la administración de medicamentos en hospitalización – urgencias “Total de egresos de hospitalización- total de personas atendidas en urgencias”</t>
    </r>
  </si>
  <si>
    <r>
      <t>Tasa de úlceras por presión</t>
    </r>
    <r>
      <rPr>
        <sz val="10"/>
        <color rgb="FF000000"/>
        <rFont val="Arial"/>
        <family val="2"/>
      </rPr>
      <t xml:space="preserve"> “Sumatoria de días de estancia de los pacientes en los servicios de hospitalización”</t>
    </r>
  </si>
  <si>
    <r>
      <t>·</t>
    </r>
    <r>
      <rPr>
        <sz val="7"/>
        <color rgb="FF000000"/>
        <rFont val="Times New Roman"/>
        <family val="1"/>
      </rPr>
      <t xml:space="preserve">       </t>
    </r>
    <r>
      <rPr>
        <sz val="10"/>
        <color rgb="FF000000"/>
        <rFont val="Arial"/>
        <family val="2"/>
      </rPr>
      <t>Neumonía Asociada a Ventilación mecánica “Numero de neumonías asociadas a ventilador nuevas en la UCI”</t>
    </r>
  </si>
  <si>
    <r>
      <t>·</t>
    </r>
    <r>
      <rPr>
        <sz val="7"/>
        <color rgb="FF000000"/>
        <rFont val="Times New Roman"/>
        <family val="1"/>
      </rPr>
      <t xml:space="preserve">       </t>
    </r>
    <r>
      <rPr>
        <sz val="10"/>
        <color rgb="FF000000"/>
        <rFont val="Arial"/>
        <family val="2"/>
      </rPr>
      <t>Infección del Tracto urinario Asociado a Catéter “Sumatoria de los casos nuevos de infección del tracto urinario asociada a catéter en un mes de seguimiento”</t>
    </r>
  </si>
  <si>
    <r>
      <t>·</t>
    </r>
    <r>
      <rPr>
        <sz val="7"/>
        <color rgb="FF000000"/>
        <rFont val="Times New Roman"/>
        <family val="1"/>
      </rPr>
      <t xml:space="preserve">       </t>
    </r>
    <r>
      <rPr>
        <sz val="10"/>
        <color rgb="FF000000"/>
        <rFont val="Arial"/>
        <family val="2"/>
      </rPr>
      <t>Infección torrente sanguíneo Asociada a Catéter “Sumatoria de casos nuevos asociada a catéter en un mes de seguimiento”</t>
    </r>
  </si>
  <si>
    <r>
      <t>·</t>
    </r>
    <r>
      <rPr>
        <sz val="7"/>
        <color rgb="FF000000"/>
        <rFont val="Times New Roman"/>
        <family val="1"/>
      </rPr>
      <t xml:space="preserve">       </t>
    </r>
    <r>
      <rPr>
        <sz val="10"/>
        <color rgb="FF000000"/>
        <rFont val="Arial"/>
        <family val="2"/>
      </rPr>
      <t>Caída de pacientes en hospitalización “Número total de pacientes hospitalizados que sufren caídas en el periodo de tiempo”</t>
    </r>
  </si>
  <si>
    <r>
      <t>·</t>
    </r>
    <r>
      <rPr>
        <sz val="7"/>
        <color rgb="FF000000"/>
        <rFont val="Times New Roman"/>
        <family val="1"/>
      </rPr>
      <t xml:space="preserve">       </t>
    </r>
    <r>
      <rPr>
        <sz val="10"/>
        <color rgb="FF000000"/>
        <rFont val="Arial"/>
        <family val="2"/>
      </rPr>
      <t>Caída de pacientes en el servicio de urgencias “Número total de pacientes atendidos en urgencias que sufren caídas en el período”</t>
    </r>
  </si>
  <si>
    <r>
      <t>·</t>
    </r>
    <r>
      <rPr>
        <sz val="7"/>
        <color rgb="FF000000"/>
        <rFont val="Times New Roman"/>
        <family val="1"/>
      </rPr>
      <t xml:space="preserve">       </t>
    </r>
    <r>
      <rPr>
        <sz val="10"/>
        <color rgb="FF000000"/>
        <rFont val="Arial"/>
        <family val="2"/>
      </rPr>
      <t>Caída de pacientes en el servicio de consulta externa “Número total de pacientes atendidos en consulta externa que sufren caídas en el período)</t>
    </r>
  </si>
  <si>
    <r>
      <t>·</t>
    </r>
    <r>
      <rPr>
        <sz val="7"/>
        <color rgb="FF000000"/>
        <rFont val="Times New Roman"/>
        <family val="1"/>
      </rPr>
      <t xml:space="preserve">       </t>
    </r>
    <r>
      <rPr>
        <sz val="10"/>
        <color rgb="FF000000"/>
        <rFont val="Arial"/>
        <family val="2"/>
      </rPr>
      <t>Caída de pacientes en el servicio de apoyo diagnostico y complementación terapéutica “Número total de pacientes atendidos en el servicio de apoyo diagnóstico y complementación terapéutica que sufren caídas”</t>
    </r>
  </si>
  <si>
    <r>
      <t>·</t>
    </r>
    <r>
      <rPr>
        <sz val="7"/>
        <color rgb="FF000000"/>
        <rFont val="Times New Roman"/>
        <family val="1"/>
      </rPr>
      <t xml:space="preserve">       </t>
    </r>
    <r>
      <rPr>
        <sz val="10"/>
        <color rgb="FF000000"/>
        <rFont val="Arial"/>
        <family val="2"/>
      </rPr>
      <t>Eventos adversos relacionados con la administración de medicamentos en hospitalización – urgencias “Número de eventos adversos relacionados con la administración de medicamentos en hospitalización – urgencias”</t>
    </r>
  </si>
  <si>
    <r>
      <t>·</t>
    </r>
    <r>
      <rPr>
        <sz val="7"/>
        <color rgb="FF000000"/>
        <rFont val="Times New Roman"/>
        <family val="1"/>
      </rPr>
      <t xml:space="preserve">       </t>
    </r>
    <r>
      <rPr>
        <sz val="10"/>
        <color rgb="FF000000"/>
        <rFont val="Arial"/>
        <family val="2"/>
      </rPr>
      <t>Tasa de úlceras por presión “Numero de pacientes que desarrollan ulceras por presión en la institución en el periodo”</t>
    </r>
  </si>
  <si>
    <t>Experiencia de la atención</t>
  </si>
  <si>
    <t>REPS Habilitados</t>
  </si>
  <si>
    <t>302-CARDIOLOGÍA</t>
  </si>
  <si>
    <t>316-GASTROENTEROLOGÍA</t>
  </si>
  <si>
    <t>330-NEFROLOGÍA</t>
  </si>
  <si>
    <t>333-NUTRICIÓN Y DIETÉTICA</t>
  </si>
  <si>
    <t>344-PSICOLOGÍA</t>
  </si>
  <si>
    <t>355-UROLOGÍA</t>
  </si>
  <si>
    <t>372-CIRUGÍA VASCULAR</t>
  </si>
  <si>
    <t>308-DERMATOLOGÍA</t>
  </si>
  <si>
    <t>301-ANESTESIA</t>
  </si>
  <si>
    <t>327-MEDICINA FÍSICA Y REHABILITACIÓN</t>
  </si>
  <si>
    <t>332-NEUROLOGÍA</t>
  </si>
  <si>
    <t>339-ORTOPEDIA Y/O TRAUMATOLOGÍA</t>
  </si>
  <si>
    <t>340-OTORRINOLARINGOLOGÍA</t>
  </si>
  <si>
    <t>363-CIRUGÍA DE MANO</t>
  </si>
  <si>
    <t>369-CIRUGÍA PLÁSTICA Y ESTÉTICA</t>
  </si>
  <si>
    <t>387-NEUROCIRUGÍA</t>
  </si>
  <si>
    <t>310-ENDOCRINOLOGÍA</t>
  </si>
  <si>
    <t>321-HEMATOLOGÍA</t>
  </si>
  <si>
    <t>323-INFECTOLOGÍA</t>
  </si>
  <si>
    <t>331-NEUMOLOGÍA</t>
  </si>
  <si>
    <t>336-ONCOLOGÍA CLÍNICA</t>
  </si>
  <si>
    <t>348-REUMATOLOGÍA</t>
  </si>
  <si>
    <t>345-PSIQUIATRÍA</t>
  </si>
  <si>
    <t>377-COLOPROCTOLOGÍA</t>
  </si>
  <si>
    <t>311-ENDODONCIA</t>
  </si>
  <si>
    <t>326-MEDICINA FÍSICA Y DEL DEPORTE</t>
  </si>
  <si>
    <t>338-ORTODONCIA</t>
  </si>
  <si>
    <t>343-PERIODONCIA</t>
  </si>
  <si>
    <t>347-REHABILITACIÓN ORAL</t>
  </si>
  <si>
    <t>411-CIRUGÍA MAXILOFACIAL</t>
  </si>
  <si>
    <t>335-OFTALMOLOGÍA</t>
  </si>
  <si>
    <t>303-CIRUGÍA CARDIOVASCULAR</t>
  </si>
  <si>
    <t>317-GENÉTICA</t>
  </si>
  <si>
    <t>366-CIRUGÍA DE TÓRAX</t>
  </si>
  <si>
    <t>367-CIRUGÍA GASTROINTESTINAL</t>
  </si>
  <si>
    <t>383-MEDICINA NUCLEAR</t>
  </si>
  <si>
    <t>362-CIRUGÍA DE CABEZA Y CUELLO</t>
  </si>
  <si>
    <t>354-TOXICOLOGÍA</t>
  </si>
  <si>
    <t>410-CIRUGÍA ORAL</t>
  </si>
  <si>
    <t>305 -CIRUGÍA NEUROLÓGICA</t>
  </si>
  <si>
    <t>309 - DOLOR Y CUIDADOS PALIATIVOS</t>
  </si>
  <si>
    <t>412 - MEDICINA ALTERNATIVA Y COMPLEMENTARIA - HOMEOPÁTICA</t>
  </si>
  <si>
    <t>369 -CIRUGÍA PLÁSTICA Y ESTÉTICA</t>
  </si>
  <si>
    <t>393-ORTOPEDIA ONCOLÓGICA</t>
  </si>
  <si>
    <t>395-UROLOGÍA ONCOLÓGICA</t>
  </si>
  <si>
    <t>406-HEMATOLOGÍA ONCOLÓGICA</t>
  </si>
  <si>
    <t>367 -CIRUGÍA GASTROINTESTINAL</t>
  </si>
  <si>
    <t>324-INMUNOLOGÍA</t>
  </si>
  <si>
    <t>407 -MEDICINA DEL TRABAJO Y MEDICINA LABORAL</t>
  </si>
  <si>
    <t>Grupo</t>
  </si>
  <si>
    <t>Consulta Externa</t>
  </si>
  <si>
    <t>Tasa de reingreso de pacientes hospitalizados en menos de 15 día</t>
  </si>
  <si>
    <t>Expresa la proporción de reingresos de pacientes hospitalizados en menos de 15 días, en un periodo determinado</t>
  </si>
  <si>
    <t>Cociente entre el número de pacientes que reingresan al servicio de hospitalización, en la misma institución, antes de 15 días, por el mismo diagnóstico de egreso en el periodo y el número total de egresos vivos</t>
  </si>
  <si>
    <t>Número de pacientes que reingresan al servicio de hospitalización, en la misma institución antes de 15 días por el mismo diagnóstico de egreso en el período</t>
  </si>
  <si>
    <t>Número total de egresos vivos atendidos en el servicio de hospitalización en el periodo</t>
  </si>
  <si>
    <t>Por 1000 egresos</t>
  </si>
  <si>
    <t>Ley 1438 de 2011 – Ley 715 de 2001 – Resolución 4678 de 2015 – Resolución 056 de 2016</t>
  </si>
  <si>
    <t>Aplica a las IPS y no aplica para los servicios de Transporte Especial de pacientes</t>
  </si>
  <si>
    <t>Proporción cancelación de cirugía</t>
  </si>
  <si>
    <t>Tasa de reingreso de pacientes al servicio de urgencias en menos de 72 horas</t>
  </si>
  <si>
    <t>Expresa la proporción de pacientes atendidos en urgencias que reingresan al misma Institución antes de las 72 horas con el mismo diagnóstico de egreso</t>
  </si>
  <si>
    <t>Cociente entre el número de pacientes que reingresan al servicio de urgencias en la misma institución antes de las 72 horas con el mismo diagnóstico de egreso y el número total de egresos vivos atendidos en el servicio de urgencias durante el periodo definido, multiplicado por 100 expresado como porcentaje (%)</t>
  </si>
  <si>
    <t>Número de pacientes que reingresan al servicio de urgencias en la misma institución antes de las 72 horas con el mismo diagnóstico de egreso</t>
  </si>
  <si>
    <t>Número total de egresos vivos atendidos en el servicio de urgencias durante el periodo definido</t>
  </si>
  <si>
    <t>Por 100 %”</t>
  </si>
  <si>
    <t>Aplica a las IPS y no aplica para los servicios de Transporte Especial de pacientes. Se de excluir el reingreso programado</t>
  </si>
  <si>
    <t>Expresa la proporción de cirugías programadas en el quirófano que son canceladas por causas atribuibles a la institución</t>
  </si>
  <si>
    <t>Cociente entre el número total de cirugías programadas que fueron canceladas por causas atribuibles a la institución y número total de cirugías programadas en un periodo determinado por 100 expresado como porcentaje (%)”</t>
  </si>
  <si>
    <t>Número total de cirugías programadas que fueron canceladas por causas atribuibles a la institución</t>
  </si>
  <si>
    <t>Número total de cirugías programadas</t>
  </si>
  <si>
    <t>Incluye los procedimientos quirúrgicos realizados en el quirófano de acuerdo con la Clasificación única de procedimientos CUPS del código 01.0.1.01. al 86.9.7.00
Aplica para IPS y no aplica para los servicios de transporte especial de pacientes</t>
  </si>
  <si>
    <t>Tiempo promedio de espera para la asignación de cita de Medicina General</t>
  </si>
  <si>
    <t>Expresa el tiempo de espera en días calendario que transcurren entre la fecha de solicitud de la cita para la consulta de Medicina general de primera vez por parte del paciente/ usuario a la IPS y la fecha en que es asignada</t>
  </si>
  <si>
    <t>Cociente entre la sumatoria de la diferencia de los días calendario entre la fecha en la que se asigno la cita de medicina general de primera vez y la fecha en la cual el usuario la solicitó y el número total de citas de Medicina General de primera vez asignadas en un periodo determinado</t>
  </si>
  <si>
    <t>Sumatoria de la diferencia de dias calendario entre la fecha en la que se asignó la cita de Medicina general de primera vez y la fecha en la cual el usuario la solicitó</t>
  </si>
  <si>
    <t>Número total de citas de Medicina general de primera vez asignadas</t>
  </si>
  <si>
    <t>Ley 1438 de 2011 – Decreto Ley 019 de 2012 – Resolución 1552 de 2013- Resolución 4678 de 2015- Resolución 256 de 2016</t>
  </si>
  <si>
    <t>La consulta de primera vez, hace referencia a la primera consulta del paciente que se registra por primera vez en el año razón por la cual se excluye la consulta de control. Aplica para IPS y no aplica para servicios de transporte especial de pacientes</t>
  </si>
  <si>
    <t xml:space="preserve">Tiempo promedio de espera para la asignación de cita de Odontologia general </t>
  </si>
  <si>
    <t xml:space="preserve">Expresa el tiempo de espera en dias calendario que transcurren entre la fecha de la solicitud y la cita para consulta por Odontologia General de primera vez por parte del paciente/ usuario a la IPS y la fecha en que es asignada </t>
  </si>
  <si>
    <t xml:space="preserve">Cociente entre la sumatoria de la diferencia de dias calendario entre la fecha en la que se asignó la cita de Odontologia general de primera vez y la fecha en la cual el usuario la solicitó y el número total de citas de odontologia gereneral de primera vez asignadas en el período </t>
  </si>
  <si>
    <t xml:space="preserve">Sumatoria de la diferencia en dias calendario entre la fechaen la que se se asignó la cita de odontologia feneral de primera vez y la fecha en la cual el usuario la solicitó </t>
  </si>
  <si>
    <t xml:space="preserve">Número total de citas de odontologia general de primera vez asignadas </t>
  </si>
  <si>
    <t xml:space="preserve">La consulta de primera vez hace referencia a la primera consulta del paciente que se registra por primera vez en el año, razón por la cual se excluye la consulta de control. Aplica para IPS y no aplica para los servicios de transporte especial de pacientes </t>
  </si>
  <si>
    <t xml:space="preserve">Tiempo promedio de espera para la asignación de cita de Medicina interna </t>
  </si>
  <si>
    <t xml:space="preserve">Expresa el tiempo de espera en dias calendario que transcurren entre la fecha de solicitud de la cita para la consulta por Medicina Interna  de primera vez y la fecha en la cual el usuario lo solicitó </t>
  </si>
  <si>
    <t xml:space="preserve">Sumatoria de la diferencia de dias calendario entre la fecha en la que se asignó la cita de medicina interna de primera vez y la fecha en la cual el usuario la solicitó </t>
  </si>
  <si>
    <t xml:space="preserve">Número total de citas de medicina interna de primera vez asignadas </t>
  </si>
  <si>
    <t xml:space="preserve">Tiempo promedio de espera para la asignación de cita de cirugia general </t>
  </si>
  <si>
    <t xml:space="preserve">Cociente entre la sumatoria de la diferencia de los dias calendario entre la fecha en la que se asignó la cita de Cirugia general de primera vez y la fecha en la cual el usuario la solicitó y el número total de citas de cirugia general de primera vez asignadas en un periodo determinado </t>
  </si>
  <si>
    <t xml:space="preserve">Sumatoria de la diferencia de dias calendario entre la fecha en la que se asignó la cita de cirugia general de primera vez y la fecha en la cual el usuario la solicito </t>
  </si>
  <si>
    <t xml:space="preserve">Numero total de citas de cirugia general de primera vez asignados </t>
  </si>
  <si>
    <t xml:space="preserve">Tiempo promedio de espera para la toma de Ecografia </t>
  </si>
  <si>
    <t xml:space="preserve">Expresa el tiempo de espera en días calendario que transcurren entre la fecha de la solicitud para la toma de una Ecografia por parte del paciente/usuario y la fecha en que es realizada </t>
  </si>
  <si>
    <t xml:space="preserve">Sumatotia de la diferencia de días calendario entre la fecha en la que se realiza la toma de la Ecografia y la fecha en la que se solicita </t>
  </si>
  <si>
    <t xml:space="preserve">Número total de Ecografias realizadas </t>
  </si>
  <si>
    <t xml:space="preserve">Incluye las ecografias de acuerdo a la Clasificación Unica de procedimientos CUPS del códifo 88.1.1.12 al  88.2.8.41.
Aplica para IPS y no aplica para los servicios de Transporte Especial de pacientes </t>
  </si>
  <si>
    <t xml:space="preserve">Tiempo promedio para la toma de Resonancia Magnética Nuclear </t>
  </si>
  <si>
    <t xml:space="preserve">Expresa el tiempo de espera en dias calendario que transcurre entre la fecha de solicitud para la toma de una resonancia magnética nuclear por parte del paciente/usuario y la fecha en que es realizada </t>
  </si>
  <si>
    <t xml:space="preserve">Cociente entre la sumatoria de la diferencia de días calendario entre la fecha en la que se realiza la toma de la Resonancia Magnetica Nuclear y la fecha en la que se solicita y el número total de Resonancia Magnética Nuclear realizadas en un periodo determinado </t>
  </si>
  <si>
    <t xml:space="preserve">Sumatoria de la diferencia de días calendario entre la fecha en la que se solicita </t>
  </si>
  <si>
    <t xml:space="preserve">Número total de resonancia magnética nuclear realizadas </t>
  </si>
  <si>
    <t xml:space="preserve">Incluye la resonancia magnética nuclear de acuerdo a Clasificación Única de procedimientos CUPS 88.3.1.01 al 88.3.9.10
Aplica para IPS y no aplica para los servicios de Transporte Especial de pacientes </t>
  </si>
  <si>
    <t xml:space="preserve">Tiempo promedio de espera para la atención del paciente clasificado como Triage 2 en servicio de urgencias </t>
  </si>
  <si>
    <t xml:space="preserve">Expresa el tiempo de espera en minutos para el paciente clasificado como Triage 2 en el servicio de urgencias hasta que se inicia la atención en consulta de urgencias por médico </t>
  </si>
  <si>
    <t xml:space="preserve">Cociente entre la sumatoria del número de minutos transcurridos a partir de que el paciene es clasificado como Triage 2 y el momento en el cual es atendido en consulta de Urgencias por médico y el número total de pacientes clasificados como Triage 2 en un periodo determinado </t>
  </si>
  <si>
    <t>Sumatoria del  número de minutos transcurridos a partir de que el paciente es clasificado como Triage 2 y el momento en cual es atendido en consulta de Urgencias por médico</t>
  </si>
  <si>
    <t xml:space="preserve">Número total de pacientes clasificados como Triage 2 en un periodo determinado </t>
  </si>
  <si>
    <t xml:space="preserve">Minutos </t>
  </si>
  <si>
    <t xml:space="preserve">Sólo se tiene en cuenta el triage 2, es decir se excluyen los demás Triage.
Aplica para IPS y no aplica para los servicios de transporte especial de pacientes </t>
  </si>
  <si>
    <t xml:space="preserve">Proporción de satisfacción global de los usuarios en la IPS </t>
  </si>
  <si>
    <t xml:space="preserve">Expresa la proporción de usuarios sastisfechos con los servicios recibidos en la IPS </t>
  </si>
  <si>
    <t xml:space="preserve">Se calcula como el cociente entre el número de usuarios que respondieron "muy buena" o "buena"  a la pregunta  Cómo calificaría su experiencia global respecto a los servicios de salud que ha recibido a través de su IPS?, y el número de usuarios que respondieron la pregunta por 100 expresado como porcentaje </t>
  </si>
  <si>
    <t>Número de usuarios que respondieron "muy buena" o "buena" a la pregunta Cómo calificaría su experiencia global respecto a los servicios de salud que ha recibido a través de su IPS</t>
  </si>
  <si>
    <t xml:space="preserve">Número de usuarios que respondieron la pregunta </t>
  </si>
  <si>
    <t>Por 100 %</t>
  </si>
  <si>
    <t>Ley 1438 de 2011 - Resolución 4678 de 2015 - Resolución 256 de 2016</t>
  </si>
  <si>
    <t xml:space="preserve">Las opciones de respuesta del usuario a la pregunta Cómo calificaría su experiencia global respecto a los servicios de salud que ha recibido a través de su IPS ?, serian:
a. muy mala b. mala, c. regular, d. Buena, e, muy buena, f. no informa.
Aplica para la IPS y para los servicios de transporte espcial de pacientes </t>
  </si>
  <si>
    <t xml:space="preserve">Tiempo promedio de espera para la asignación de cita de Cardiologia </t>
  </si>
  <si>
    <t xml:space="preserve">Expresa el tiempo de espera en dias calendario que transcurren entre la fecha de solicitud de la cita para la consulta por Cardiología  de primera vez y la fecha en la cual el usuario lo solicitó </t>
  </si>
  <si>
    <t xml:space="preserve">Sumatoria de la diferencia de dias calendario entre la fecha en la que se asignó la cita de cardiología de primera vez y la fecha en la cual el usuario la solicitó </t>
  </si>
  <si>
    <t xml:space="preserve">Número total de citas de cardiología de primera vez asignadas </t>
  </si>
  <si>
    <t xml:space="preserve">Tiempo promedio de espera para la asignación de cita de Gastroenterología </t>
  </si>
  <si>
    <t xml:space="preserve">Expresa el tiempo de espera en dias calendario que transcurren entre la fecha de solicitud de la cita para la consulta por Gastroenterología de primera vez y la fecha en la cual el usuario lo solicitó </t>
  </si>
  <si>
    <t xml:space="preserve">Sumatoria de la diferencia de dias calendario entre la fecha en la que se asignó la cita de gastroenterología de primera vez y la fecha en la cual el usuario la solicitó </t>
  </si>
  <si>
    <t xml:space="preserve">Número total de citas de gastroenterología de primera vez asignadas </t>
  </si>
  <si>
    <t xml:space="preserve">Tiempo promedio de espera para la asignación de cita de Nefrología </t>
  </si>
  <si>
    <t xml:space="preserve">Expresa el tiempo de espera en dias calendario que transcurren entre la fecha de solicitud de la cita para la consulta por Nefrología de primera vez y la fecha en la cual el usuario lo solicitó </t>
  </si>
  <si>
    <t xml:space="preserve">Sumatoria de la diferencia de dias calendario entre la fecha en la que se asignó la cita de nefrología de primera vez y la fecha en la cual el usuario la solicitó </t>
  </si>
  <si>
    <t xml:space="preserve">Número total de citas de nefrología de primera vez asignadas </t>
  </si>
  <si>
    <t xml:space="preserve">Tiempo promedio de espera para la asignación de cita de Nutrición y dietetica </t>
  </si>
  <si>
    <t xml:space="preserve">Expresa el tiempo de espera en dias calendario que transcurren entre la fecha de solicitud de la cita para la consulta por Nutrición y dietetica de primera vez y la fecha en la cual el usuario lo solicitó </t>
  </si>
  <si>
    <t xml:space="preserve">Sumatoria de la diferencia de dias calendario entre la fecha en la que se asignó la cita de nutrición y dietetica de primera vez y la fecha en la cual el usuario la solicitó </t>
  </si>
  <si>
    <t xml:space="preserve">Número total de citas de nutrición y dietetica de primera vez asignadas </t>
  </si>
  <si>
    <t xml:space="preserve">Tiempo promedio de espera para la asignación de cita de psicología </t>
  </si>
  <si>
    <t xml:space="preserve">Expresa el tiempo de espera en dias calendario que transcurren entre la fecha de solicitud de la cita para la consulta por psicologia de primera vez y la fecha en la cual el usuario lo solicitó </t>
  </si>
  <si>
    <t xml:space="preserve">Sumatoria de la diferencia de dias calendario entre la fecha en la que se asignó la cita de psicología de primera vez y la fecha en la cual el usuario la solicitó </t>
  </si>
  <si>
    <t xml:space="preserve">Número total de citas de psicología de primera vez asignadas </t>
  </si>
  <si>
    <t>Tiempo promedio de espera para la asignación de cita de urología</t>
  </si>
  <si>
    <t xml:space="preserve">Expresa el tiempo de espera en dias calendario que transcurren entre la fecha de solicitud de la cita para la consulta por urología de primera vez y la fecha en la cual el usuario lo solicitó </t>
  </si>
  <si>
    <t xml:space="preserve">Sumatoria de la diferencia de dias calendario entre la fecha en la que se asignó la cita de urología de primera vez y la fecha en la cual el usuario la solicitó </t>
  </si>
  <si>
    <t xml:space="preserve">Número total de citas de urología de primera vez asignadas </t>
  </si>
  <si>
    <t xml:space="preserve">Tiempo promedio de espera para la asignación de cita de cirugiía vascular </t>
  </si>
  <si>
    <t xml:space="preserve">Expresa el tiempo de espera en dias calendario que transcurren entre la fecha de solicitud de la cita para la consulta por cirugía vascular de primera vez y la fecha en la cual el usuario lo solicitó </t>
  </si>
  <si>
    <t xml:space="preserve">Sumatoria de la diferencia de dias calendario entre la fecha en la que se asignó la cita de cirugía vascular de primera vez y la fecha en la cual el usuario la solicitó </t>
  </si>
  <si>
    <t xml:space="preserve">Número total de citas de cirugía vascular de primera vez asignadas </t>
  </si>
  <si>
    <t>Tiempo promedio de espera para la asignación de cita de dermatología</t>
  </si>
  <si>
    <t xml:space="preserve">Expresa el tiempo de espera en dias calendario que transcurren entre la fecha de solicitud de la cita para la consulta por dermatología de primera vez y la fecha en la cual el usuario lo solicitó </t>
  </si>
  <si>
    <t xml:space="preserve">Sumatoria de la diferencia de dias calendario entre la fecha en la que se asignó la cita de dermatología de primera vez y la fecha en la cual el usuario la solicitó </t>
  </si>
  <si>
    <t xml:space="preserve">Número total de citas de dermatología de primera vez asignadas </t>
  </si>
  <si>
    <t>Expresa el tiempo de espera en días calendario que transcurren entre la fecha solicitud de la cita para consulta con cirugía general de primera vez por parte del paciente/ usuario a la IPS y la fecha en que es asignada</t>
  </si>
  <si>
    <t xml:space="preserve">Tiempo promedio de espera para la asignación de cita de medicina física y rehabilitación </t>
  </si>
  <si>
    <t xml:space="preserve">Expresa el tiempo de espera en dias calendario que transcurren entre la fecha de solicitud de la cita para la consulta por medicina física y rehabilitación de primera vez y la fecha en la cual el usuario lo solicitó </t>
  </si>
  <si>
    <t xml:space="preserve">Sumatoria de la diferencia de dias calendario entre la fecha en la que se asignó la cita de medicina física y rehabilitación de primera vez y la fecha en la cual el usuario la solicitó </t>
  </si>
  <si>
    <t xml:space="preserve">Número total de citas de medicina física y rehabilitación de primera vez asignadas </t>
  </si>
  <si>
    <t>Tiempo promedio de espera para la asignación de cita de neurología</t>
  </si>
  <si>
    <t xml:space="preserve">Expresa el tiempo de espera en dias calendario que transcurren entre la fecha de solicitud de la cita para la consulta por neurología de primera vez y la fecha en la cual el usuario lo solicitó </t>
  </si>
  <si>
    <t xml:space="preserve">Sumatoria de la diferencia de dias calendario entre la fecha en la que se asignó la cita de neurología de primera vez y la fecha en la cual el usuario la solicitó </t>
  </si>
  <si>
    <t xml:space="preserve">Número total de citas de neurología de primera vez asignadas </t>
  </si>
  <si>
    <t>Tiempo promedio de espera para la asignación de cita de ortopedia</t>
  </si>
  <si>
    <t xml:space="preserve">Expresa el tiempo de espera en dias calendario que transcurren entre la fecha de solicitud de la cita para la consulta por ortopedia de primera vez y la fecha en la cual el usuario lo solicitó </t>
  </si>
  <si>
    <t xml:space="preserve">Sumatoria de la diferencia de dias calendario entre la fecha en la que se asignó la cita de ortopedia de primera vez y la fecha en la cual el usuario la solicitó </t>
  </si>
  <si>
    <t xml:space="preserve">Número total de citas de ortopedia de primera vez asignadas </t>
  </si>
  <si>
    <t>Tiempo promedio de espera para la asignación de cita de anestesia</t>
  </si>
  <si>
    <t xml:space="preserve">Expresa el tiempo de espera en dias calendario que transcurren entre la fecha de solicitud de la cita para la consulta por anestesia de primera vez y la fecha en la cual el usuario lo solicitó </t>
  </si>
  <si>
    <t xml:space="preserve">Sumatoria de la diferencia de dias calendario entre la fecha en la que se asignó la cita de anestesia de primera vez y la fecha en la cual el usuario la solicitó </t>
  </si>
  <si>
    <t xml:space="preserve">Número total de citas de anestesia de primera vez asignadas </t>
  </si>
  <si>
    <t>Tiempo promedio de espera para la asignación de cita de otorrinolaringología</t>
  </si>
  <si>
    <t xml:space="preserve">Expresa el tiempo de espera en dias calendario que transcurren entre la fecha de solicitud de la cita para la consulta por otorrinolaringología de primera vez y la fecha en la cual el usuario lo solicitó </t>
  </si>
  <si>
    <t xml:space="preserve">Sumatoria de la diferencia de dias calendario entre la fecha en la que se asignó la cita de otorrinolaringología de primera vez y la fecha en la cual el usuario la solicitó </t>
  </si>
  <si>
    <t xml:space="preserve">Número total de citas de otorrinolaringología de primera vez asignadas </t>
  </si>
  <si>
    <t>Tiempo promedio de espera para la asignación de cita de cirugía de mano</t>
  </si>
  <si>
    <t xml:space="preserve">Expresa el tiempo de espera en dias calendario que transcurren entre la fecha de solicitud de la cita para la consulta por cirugía de mano de primera vez y la fecha en la cual el usuario lo solicitó </t>
  </si>
  <si>
    <t xml:space="preserve">Sumatoria de la diferencia de dias calendario entre la fecha en la que se asignó la cita de cirugía de mano de primera vez y la fecha en la cual el usuario la solicitó </t>
  </si>
  <si>
    <t xml:space="preserve">Tiempo promedio de espera para la asignación de cita de neurocirugía </t>
  </si>
  <si>
    <t xml:space="preserve">Expresa el tiempo de espera en dias calendario que transcurren entre la fecha de solicitud de la cita para la consulta por neurocirugía de primera vez y la fecha en la cual el usuario lo solicitó </t>
  </si>
  <si>
    <t xml:space="preserve">Sumatoria de la diferencia de dias calendario entre la fecha en la que se asignó la cita de neurocirugía de primera vez y la fecha en la cual el usuario la solicitó </t>
  </si>
  <si>
    <t xml:space="preserve">Número total de citas de cirugía de mano de primera vez asignadas </t>
  </si>
  <si>
    <t xml:space="preserve">Número total de citas de neurocirugía de primera vez asignadas </t>
  </si>
  <si>
    <t>Tiempo promedio de espera para la asignación de cita de endocrinología</t>
  </si>
  <si>
    <t xml:space="preserve">Expresa el tiempo de espera en dias calendario que transcurren entre la fecha de solicitud de la cita para la consulta por endocrinología de primera vez y la fecha en la cual el usuario lo solicitó </t>
  </si>
  <si>
    <t xml:space="preserve">Sumatoria de la diferencia de dias calendario entre la fecha en la que se asignó la cita de endocrinología de primera vez y la fecha en la cual el usuario la solicitó </t>
  </si>
  <si>
    <t xml:space="preserve">Número total de citas de endocrinología de primera vez asignadas </t>
  </si>
  <si>
    <t xml:space="preserve">Tiempo promedio de espera para la asignación de cita de hematología </t>
  </si>
  <si>
    <t xml:space="preserve">Expresa el tiempo de espera en dias calendario que transcurren entre la fecha de solicitud de la cita para la consulta por hematología de primera vez y la fecha en la cual el usuario lo solicitó </t>
  </si>
  <si>
    <t xml:space="preserve">Sumatoria de la diferencia de dias calendario entre la fecha en la que se asignó la cita de hematología de primera vez y la fecha en la cual el usuario la solicitó </t>
  </si>
  <si>
    <t xml:space="preserve">Número total de citas de hematología de primera vez asignadas </t>
  </si>
  <si>
    <t xml:space="preserve">Tiempo promedio de espera para la asignación de cita de infectología </t>
  </si>
  <si>
    <t xml:space="preserve">Expresa el tiempo de espera en dias calendario que transcurren entre la fecha de solicitud de la cita para la consulta por infectología de primera vez y la fecha en la cual el usuario lo solicitó </t>
  </si>
  <si>
    <t xml:space="preserve">Sumatoria de la diferencia de dias calendario entre la fecha en la que se asignó la cita de infectología de primera vez y la fecha en la cual el usuario la solicitó </t>
  </si>
  <si>
    <t xml:space="preserve">Número total de citas de infectología de primera vez asignadas </t>
  </si>
  <si>
    <t>Tiempo promedio de espera para la asignación de cita de neumología</t>
  </si>
  <si>
    <t xml:space="preserve">Expresa el tiempo de espera en dias calendario que transcurren entre la fecha de solicitud de la cita para la consulta por neumología de primera vez y la fecha en la cual el usuario lo solicitó </t>
  </si>
  <si>
    <t xml:space="preserve">Sumatoria de la diferencia de dias calendario entre la fecha en la que se asignó la cita de neumología de primera vez y la fecha en la cual el usuario la solicitó </t>
  </si>
  <si>
    <t xml:space="preserve">Número total de citas de neumología de primera vez asignadas </t>
  </si>
  <si>
    <t xml:space="preserve">Tiempo promedio de espera para la asignación de cita de oncología clínica </t>
  </si>
  <si>
    <t xml:space="preserve">Expresa el tiempo de espera en dias calendario que transcurren entre la fecha de solicitud de la cita para la consulta por oncología clínica de primera vez y la fecha en la cual el usuario lo solicitó </t>
  </si>
  <si>
    <t xml:space="preserve">Sumatoria de la diferencia de dias calendario entre la fecha en la que se asignó la cita de oncología clínica de primera vez y la fecha en la cual el usuario la solicitó </t>
  </si>
  <si>
    <t xml:space="preserve">Número total de citas de oncología clínica de primera vez asignadas </t>
  </si>
  <si>
    <t xml:space="preserve">Tiempo promedio de espera para la asignación de cita de reumatología </t>
  </si>
  <si>
    <t xml:space="preserve">Expresa el tiempo de espera en dias calendario que transcurren entre la fecha de solicitud de la cita para la consulta por reumatología de primera vez y la fecha en la cual el usuario lo solicitó </t>
  </si>
  <si>
    <t xml:space="preserve">Sumatoria de la diferencia de dias calendario entre la fecha en la que se asignó la cita de reumatología de primera vez y la fecha en la cual el usuario la solicitó </t>
  </si>
  <si>
    <t xml:space="preserve">Número total de citas de reumatología de primera vez asignadas </t>
  </si>
  <si>
    <t xml:space="preserve">Tiempo promedio de espera para la asignación de cita de psiquiatría </t>
  </si>
  <si>
    <t xml:space="preserve">Expresa el tiempo de espera en dias calendario que transcurren entre la fecha de solicitud de la cita para la consulta por psiquiatría de primera vez y la fecha en la cual el usuario lo solicitó </t>
  </si>
  <si>
    <t xml:space="preserve">Sumatoria de la diferencia de dias calendario entre la fecha en la que se asignó la cita de psiquiatría de primera vez y la fecha en la cual el usuario la solicitó </t>
  </si>
  <si>
    <t xml:space="preserve">Número total de citas de psiquiatría de primera vez asignadas </t>
  </si>
  <si>
    <t>Tiempo promedio de espera para la asignación de cita de coloproctología</t>
  </si>
  <si>
    <t xml:space="preserve">Expresa el tiempo de espera en dias calendario que transcurren entre la fecha de solicitud de la cita para la consulta por coloproctología de primera vez y la fecha en la cual el usuario lo solicitó </t>
  </si>
  <si>
    <t xml:space="preserve">Sumatoria de la diferencia de dias calendario entre la fecha en la que se asignó la cita de coloproctología de primera vez y la fecha en la cual el usuario la solicitó </t>
  </si>
  <si>
    <t xml:space="preserve">Número total de citas de coloproctología de primera vez asignadas </t>
  </si>
  <si>
    <t>Tiempo promedio de espera para la asignación de cita de endodoncia</t>
  </si>
  <si>
    <t xml:space="preserve">Expresa el tiempo de espera en dias calendario que transcurren entre la fecha de solicitud de la cita para la consulta por endodoncia de primera vez y la fecha en la cual el usuario lo solicitó </t>
  </si>
  <si>
    <t xml:space="preserve">Número total de citas de endodoncia de primera vez asignadas </t>
  </si>
  <si>
    <t xml:space="preserve">Tiempo promedio de espera para la asignación de cita de medicina física y del deporte </t>
  </si>
  <si>
    <t xml:space="preserve">Expresa el tiempo de espera en dias calendario que transcurren entre la fecha de solicitud de la cita para la consulta por medicina física y del deporte de primera vez y la fecha en la cual el usuario lo solicitó </t>
  </si>
  <si>
    <t xml:space="preserve">Sumatoria de la diferencia de dias calendario entre la fecha en la que se asignó la cita de medicina física y del deporte  de primera vez y la fecha en la cual el usuario la solicitó </t>
  </si>
  <si>
    <t xml:space="preserve">Sumatoria de la diferencia de dias calendario entre la fecha en la que se asignó la cita de endodoncia de primera vez y la fecha en la cual el usuario la solicitó </t>
  </si>
  <si>
    <t xml:space="preserve">Número total de citas de medicina física y del deporte de primera vez asignadas </t>
  </si>
  <si>
    <t xml:space="preserve">Tiempo promedio de espera para la asignación de cita de ortodoncia </t>
  </si>
  <si>
    <t xml:space="preserve">Expresa el tiempo de espera en dias calendario que transcurren entre la fecha de solicitud de la cita para la consulta por ortodoncia de primera vez y la fecha en la cual el usuario lo solicitó </t>
  </si>
  <si>
    <t xml:space="preserve">Sumatoria de la diferencia de dias calendario entre la fecha en la que se asignó la cita de ortodoncia  de primera vez y la fecha en la cual el usuario la solicitó </t>
  </si>
  <si>
    <t xml:space="preserve">Número total de citas de ortodoncia de primera vez asignadas </t>
  </si>
  <si>
    <t xml:space="preserve">Tiempo promedio de espera para la asignación de cita de periodoncia  </t>
  </si>
  <si>
    <t xml:space="preserve">Expresa el tiempo de espera en dias calendario que transcurren entre la fecha de solicitud de la cita para la consulta por periodoncia de primera vez y la fecha en la cual el usuario lo solicitó </t>
  </si>
  <si>
    <t xml:space="preserve">Cociente entre la sumatoria de la diferencia de los dias calendario entre la fecha en la que se asignó la cita de medicina física y del deporte de primera vez y la fecha en la cual el usuario la solicitó y el número total de citas de endodoncia de primera vez asignadas en un periodo determinado </t>
  </si>
  <si>
    <t xml:space="preserve">Cociente entre la sumatoria de la diferencia de los dias calendario entre la fecha en la que se asignó la cita de Medicina Interna de primera vez y la fecha en la cual el usuario la solicitó y el número total de citas de medicina interna de primera vez asignadas en un periodo determinado </t>
  </si>
  <si>
    <t xml:space="preserve">Cociente entre la sumatoria de la diferencia de los dias calendario entre la fecha en la que se asignó la cita de Cardiología de primera vez y la fecha en la cual el usuario la solicitó y el número total de citas de cardiología de primera vez asignadas en un periodo determinado </t>
  </si>
  <si>
    <t xml:space="preserve">Cociente entre la sumatoria de la diferencia de los dias calendario entre la fecha en la que se asignó la cita de Gastroenterología de primera vez y la fecha en la cual el usuario la solicitó y el número total de citas de gastroenterología de primera vez asignadas en un periodo determinado </t>
  </si>
  <si>
    <t xml:space="preserve">Cociente entre la sumatoria de la diferencia de los dias calendario entre la fecha en la que se asignó la cita de Nefrología de primera vez y la fecha en la cual el usuario la solicitó y el número total de citas de nefrología de primera vez asignadas en un periodo determinado </t>
  </si>
  <si>
    <t xml:space="preserve">Cociente entre la sumatoria de la diferencia de los dias calendario entre la fecha en la que se asignó la cita de nutrición y dietetica de primera vez y la fecha en la cual el usuario la solicitó y el número total de citas de nutrición y dietetica a de primera vez asignadas en un periodo determinado </t>
  </si>
  <si>
    <t xml:space="preserve">Cociente entre la sumatoria de la diferencia de los dias calendario entre la fecha en la que se asignó la cita de psicología de primera vez y la fecha en la cual el usuario la solicitó y el número total de citas de psicología de primera vez asignadas en un periodo determinado </t>
  </si>
  <si>
    <t xml:space="preserve">Cociente entre la sumatoria de la diferencia de los dias calendario entre la fecha en la que se asignó la cita de urología de primera vez y la fecha en la cual el usuario la solicitó y el número total de citas de urología de primera vez asignadas en un periodo determinado </t>
  </si>
  <si>
    <t xml:space="preserve">Cociente entre la sumatoria de la diferencia de los dias calendario entre la fecha en la que se asignó la cita de cirugía vascular de primera vez y la fecha en la cual el usuario la solicitó y el número total de citas de cirugía vascular de primera vez asignadas en un periodo determinado </t>
  </si>
  <si>
    <t xml:space="preserve">Cociente entre la sumatoria de la diferencia de los dias calendario entre la fecha en la que se asignó la cita de dermatología de primera vez y la fecha en la cual el usuario la solicitó y el número total de citas de dernatología de primera vez asignadas en un periodo determinado </t>
  </si>
  <si>
    <t xml:space="preserve">Cociente entre la sumatoria de la diferencia de los dias calendario entre la fecha en la que se asignó la cita de medicina física y rehabilitación de primera vez y la fecha en la cual el usuario la solicitó y el número total de citas de medicina física de primera vez asignadas en un periodo determinado </t>
  </si>
  <si>
    <t xml:space="preserve">Cociente entre la sumatoria de la diferencia de los dias calendario entre la fecha en la que se asignó la cita de neurología de primera vez y la fecha en la cual el usuario la solicitó y el número total de citas de neurología de primera vez asignadas en un periodo determinado </t>
  </si>
  <si>
    <t xml:space="preserve">Cociente entre la sumatoria de la diferencia de los dias calendario entre la fecha en la que se asignó la cita de ortopedia de primera vez y la fecha en la cual el usuario la solicitó y el número total de citas de ortopedia  de primera vez asignadas en un periodo determinado </t>
  </si>
  <si>
    <t xml:space="preserve">Cociente entre la sumatoria de la diferencia de los dias calendario entre la fecha en la que se asignó la cita de anestesia de primera vez y la fecha en la cual el usuario la solicitó y el número total de citas de anestesia  de primera vez asignadas en un periodo determinado </t>
  </si>
  <si>
    <t xml:space="preserve">Cociente entre la sumatoria de la diferencia de los dias calendario entre la fecha en la que se asignó la cita de otorrinolaringología de primera vez y la fecha en la cual el usuario la solicitó y el número total de citas de otorrinolaringología de primera vez asignadas en un periodo determinado </t>
  </si>
  <si>
    <t xml:space="preserve">Cociente entre la sumatoria de la diferencia de los dias calendario entre la fecha en la que se asignó la cita de cirugía de mano de primera vez y la fecha en la cual el usuario la solicitó y el número total de citas de cirugía de mano a de primera vez asignadas en un periodo determinado </t>
  </si>
  <si>
    <t xml:space="preserve">Cociente entre la sumatoria de la diferencia de los dias calendario entre la fecha en la que se asignó la cita de neurocirugía de primera vez y la fecha en la cual el usuario la solicitó y el número total de citas de neurocirugía de primera vez asignadas en un periodo determinado </t>
  </si>
  <si>
    <t xml:space="preserve">Cociente entre la sumatoria de la diferencia de los dias calendario entre la fecha en la que se asignó la cita de endocrinología de primera vez y la fecha en la cual el usuario la solicitó y el número total de citas de endocrinología de primera vez asignadas en un periodo determinado </t>
  </si>
  <si>
    <t xml:space="preserve">Cociente entre la sumatoria de la diferencia de los dias calendario entre la fecha en la que se asignó la cita de hematología de primera vez y la fecha en la cual el usuario la solicitó y el número total de citas de hematología de primera vez asignadas en un periodo determinado </t>
  </si>
  <si>
    <t xml:space="preserve">Cociente entre la sumatoria de la diferencia de los dias calendario entre la fecha en la que se asignó la cita de infectología de primera vez y la fecha en la cual el usuario la solicitó y el número total de citas de infectología de primera vez asignadas en un periodo determinado </t>
  </si>
  <si>
    <t xml:space="preserve">Cociente entre la sumatoria de la diferencia de los dias calendario entre la fecha en la que se asignó la cita de neumología de primera vez y la fecha en la cual el usuario la solicitó y el número total de citas de neumología de primera vez asignadas en un periodo determinado </t>
  </si>
  <si>
    <t xml:space="preserve">Cociente entre la sumatoria de la diferencia de los dias calendario entre la fecha en la que se asignó la cita de oncología clínica de primera vez y la fecha en la cual el usuario la solicitó y el número total de citas de oncología clínica de primera vez asignadas en un periodo determinado </t>
  </si>
  <si>
    <t xml:space="preserve">Cociente entre la sumatoria de la diferencia de los dias calendario entre la fecha en la que se asignó la cita de reumatología de primera vez y la fecha en la cual el usuario la solicitó y el número total de citas de reumatología de primera vez asignadas en un periodo determinado </t>
  </si>
  <si>
    <t xml:space="preserve">Cociente entre la sumatoria de la diferencia de los dias calendario entre la fecha en la que se asignó la cita de psiquiatría de primera vez y la fecha en la cual el usuario la solicitó y el número total de citas de psiquiatría de primera vez asignadas en un periodo determinado </t>
  </si>
  <si>
    <t xml:space="preserve">Cociente entre la sumatoria de la diferencia de los dias calendario entre la fecha en la que se asignó la cita de coloproctología de primera vez y la fecha en la cual el usuario la solicitó y el número total de citas de coloproctología de primera vez asignadas en un periodo determinado </t>
  </si>
  <si>
    <t xml:space="preserve">Cociente entre la sumatoria de la diferencia de los dias calendario entre la fecha en la que se asignó la cita de endodoncia de primera vez y la fecha en la cual el usuario la solicitó y el número total de citas de endodoncia de primera vez asignadas en un periodo determinado </t>
  </si>
  <si>
    <t xml:space="preserve">Cociente entre la sumatoria de la diferencia de dias calendario entre la fecha en la que se realiza la toma de la Ecografia y la fecha en la que se solicita y el número total de cografias realizadas en un periodo determinado </t>
  </si>
  <si>
    <t xml:space="preserve">Cociente entre la sumatoria de la diferencia de los dias calendario entre la fecha en la que se asignó la cita de ortodoncia de primera vez y la fecha en la cual el usuario la solicitó y el número total de citas de ortodoncia  de primera vez asignadas en un periodo determinado </t>
  </si>
  <si>
    <t xml:space="preserve">Cociente entre la sumatoria de la diferencia de los dias calendario entre la fecha en la que se asignó la cita de periodoncia de primera vez y la fecha en la cual el usuario la solicitó y el número total de citas de periodoncia  de primera vez  asignadas en un periodo determinado </t>
  </si>
  <si>
    <t>Tiempo promedio de espera para la asignación de cita de rehabilitación oral</t>
  </si>
  <si>
    <t xml:space="preserve">Expresa el tiempo de espera en dias calendario que transcurren entre la fecha de solicitud de la cita para la consulta por rehabilitación oral de primera vez y la fecha en la cual el usuario lo solicitó </t>
  </si>
  <si>
    <t xml:space="preserve">Cociente entre la sumatoria de la diferencia de los dias calendario entre la fecha en la que se asignó la cita de rehabilitación oral de primera vez y la fecha en la cual el usuario la solicitó y el número total de citas de rehabilitación oral  de primera vez  asignadas en un periodo determinado </t>
  </si>
  <si>
    <t xml:space="preserve">Sumatoria de la diferencia de dias calendario entre la fecha en la que se asignó la cita de rehablitación oral  de primera vez y la fecha en la cual el usuario la solicitó </t>
  </si>
  <si>
    <t xml:space="preserve">Sumatoria de la diferencia de dias calendario entre la fecha en la que se asignó la cita de periodoncia  de primera vez y la fecha en la cual el usuario la solicitó </t>
  </si>
  <si>
    <t xml:space="preserve">Número total de citas de periodoncia de primera vez asignadas </t>
  </si>
  <si>
    <t xml:space="preserve">Número total de citas de rehabilitación oral de primera vez asignadas </t>
  </si>
  <si>
    <t>Tiempo promedio de espera para la asignación de cita de cirugía maxilofacial</t>
  </si>
  <si>
    <t xml:space="preserve">Expresa el tiempo de espera en dias calendario que transcurren entre la fecha de solicitud de la cita para la consulta por cirugía maxilofacial de primera vez y la fecha en la cual el usuario lo solicitó </t>
  </si>
  <si>
    <t xml:space="preserve">Cociente entre la sumatoria de la diferencia de los dias calendario entre la fecha en la que se asignó la cita de cirugia maxilofacial de primera vez y la fecha en la cual el usuario la solicitó y el número total de citas de cirugia maxilofacial  de primera vez  asignadas en un periodo determinado </t>
  </si>
  <si>
    <t xml:space="preserve">Sumatoria de la diferencia de dias calendario entre la fecha en la que se asignó la cita de cirugía maxilofacial  de primera vez y la fecha en la cual el usuario la solicitó </t>
  </si>
  <si>
    <t xml:space="preserve">Número total de citas de cirugía maxilofacial de primera vez asignadas </t>
  </si>
  <si>
    <t>Tiempo promedio de espera para la asignación de cita de oftalmología</t>
  </si>
  <si>
    <t xml:space="preserve">Expresa el tiempo de espera en dias calendario que transcurren entre la fecha de solicitud de la cita para la consulta por offalmología de primera vez y la fecha en la cual el usuario lo solicitó </t>
  </si>
  <si>
    <t xml:space="preserve">Cociente entre la sumatoria de la diferencia de los dias calendario entre la fecha en la que se asignó la cita de oftalmología de primera vez y la fecha en la cual el usuario la solicitó y el número total de citas de oftalmología  de primera vez  asignadas en un periodo determinado </t>
  </si>
  <si>
    <t xml:space="preserve">Sumatoria de la diferencia de dias calendario entre la fecha en la que se asignó la cita de oftalmología  de primera vez y la fecha en la cual el usuario la solicitó </t>
  </si>
  <si>
    <t xml:space="preserve">Número total de citas de oftalmología de primera vez asignadas </t>
  </si>
  <si>
    <t xml:space="preserve">Tiempo promedio de espera para la asignación de cita de cirugía cardiovascular </t>
  </si>
  <si>
    <t xml:space="preserve">Expresa el tiempo de espera en dias calendario que transcurren entre la fecha de solicitud de la cita para la consulta por cirugía cardiovascular de primera vez y la fecha en la cual el usuario lo solicitó </t>
  </si>
  <si>
    <t xml:space="preserve">Cociente entre la sumatoria de la diferencia de los dias calendario entre la fecha en la que se asignó la cita de cirugía cardiovascular de primera vez y la fecha en la cual el usuario la solicitó y el número total de citas de cirugía cardiovascular  de primera vez  asignadas en un periodo determinado </t>
  </si>
  <si>
    <t xml:space="preserve">Sumatoria de la diferencia de dias calendario entre la fecha en la que se asignó la cita de cirugiía cardiovascular  de primera vez y la fecha en la cual el usuario la solicitó </t>
  </si>
  <si>
    <t xml:space="preserve">Número total de citas de cirugía cardiovascular de primera vez asignadas </t>
  </si>
  <si>
    <t>Tiempo promedio de espera para la asignación de cita de genetica</t>
  </si>
  <si>
    <t xml:space="preserve">Expresa el tiempo de espera en dias calendario que transcurren entre la fecha de solicitud de la cita para la consulta por genetica de primera vez y la fecha en la cual el usuario lo solicitó </t>
  </si>
  <si>
    <t xml:space="preserve">Cociente entre la sumatoria de la diferencia de los dias calendario entre la fecha en la que se asignó la cita de genetica de primera vez y la fecha en la cual el usuario la solicitó y el número total de citas de genetica  de primera vez  asignadas en un periodo determinado </t>
  </si>
  <si>
    <t xml:space="preserve">Sumatoria de la diferencia de dias calendario entre la fecha en la que se asignó la cita de genetica  de primera vez y la fecha en la cual el usuario la solicitó </t>
  </si>
  <si>
    <t xml:space="preserve">Número total de citas de genetica  de primera vez asignadas </t>
  </si>
  <si>
    <t>Tiempo promedio de espera para la asignación de cita de cirugía de tórax</t>
  </si>
  <si>
    <t xml:space="preserve">Expresa el tiempo de espera en dias calendario que transcurren entre la fecha de solicitud de la cita para la consulta por cirugía de tórax de primera vez y la fecha en la cual el usuario lo solicitó </t>
  </si>
  <si>
    <t xml:space="preserve">Cociente entre la sumatoria de la diferencia de los dias calendario entre la fecha en la que se asignó la cita de cirugía de tórax de primera vez y la fecha en la cual el usuario la solicitó y el número total de citas de cirugía de tórax  de primera vez  asignadas en un periodo determinado </t>
  </si>
  <si>
    <t xml:space="preserve">Sumatoria de la diferencia de dias calendario entre la fecha en la que se asignó la cita de cirugía de tórax  de primera vez y la fecha en la cual el usuario la solicitó </t>
  </si>
  <si>
    <t xml:space="preserve">Número total de citas de cirugía de tórax  de primera vez asignadas </t>
  </si>
  <si>
    <t xml:space="preserve">Tiempo promedio de espera para la asignación de cita de cirugía de gastrointestinal </t>
  </si>
  <si>
    <t xml:space="preserve">Expresa el tiempo de espera en dias calendario que transcurren entre la fecha de solicitud de la cita para la consulta por cirugía gastrointestinal de primera vez y la fecha en la cual el usuario lo solicitó </t>
  </si>
  <si>
    <t xml:space="preserve">Cociente entre la sumatoria de la diferencia de los dias calendario entre la fecha en la que se asignó la cita de cirugía gastrointestinal de primera vez y la fecha en la cual el usuario la solicitó y el número total de citas de cirugía gastrointestinal de primera vez  asignadas en un periodo determinado </t>
  </si>
  <si>
    <t xml:space="preserve">Sumatoria de la diferencia de dias calendario entre la fecha en la que se asignó la cita de cirugía gastrointestinal  de primera vez y la fecha en la cual el usuario la solicitó </t>
  </si>
  <si>
    <t xml:space="preserve">Número total de citas de cirugía gastrointestinal  de primera vez asignadas </t>
  </si>
  <si>
    <t>Tiempo promedio de espera para la asignación de cita de medicina nuclear</t>
  </si>
  <si>
    <t xml:space="preserve">Cociente entre la sumatoria de la diferencia de los dias calendario entre la fecha en la que se asignó la cita de medicina nuclear de primera vez y la fecha en la cual el usuario la solicitó y el número total de citas de medicina nuclear de primera vez  asignadas en un periodo determinado </t>
  </si>
  <si>
    <t xml:space="preserve">Sumatoria de la diferencia de dias calendario entre la fecha en la que se asignó la cita de medicina nuclear  de primera vez y la fecha en la cual el usuario la solicitó </t>
  </si>
  <si>
    <t xml:space="preserve">Número total de citas de medicina nuclear de primera vez asignadas </t>
  </si>
  <si>
    <t xml:space="preserve">Tiempo promedio de espera para la asignación de cita de cirugía de cabeza y cuello </t>
  </si>
  <si>
    <t xml:space="preserve">Expresa el tiempo de espera en dias calendario que transcurren entre la fecha de solicitud de la cita para la consulta por medicina nuclear de primera vez y la fecha en la cual el usuario lo solicitó </t>
  </si>
  <si>
    <t xml:space="preserve">Expresa el tiempo de espera en dias calendario que transcurren entre la fecha de solicitud de la cita para la consulta por cirugía de cabeza y cuello de primera vez y la fecha en la cual el usuario lo solicitó </t>
  </si>
  <si>
    <t xml:space="preserve">Cociente entre la sumatoria de la diferencia de los dias calendario entre la fecha en la que se asignó la cita de cirugía de cabeza y cuello de primera vez y la fecha en la cual el usuario la solicitó y el número total de citas de cirugía de cabeza y cuello de primera vez  asignadas en un periodo determinado </t>
  </si>
  <si>
    <t xml:space="preserve">Sumatoria de la diferencia de dias calendario entre la fecha en la que se asignó la cita de cirugía de cabeza y cuello  de primera vez y la fecha en la cual el usuario la solicitó </t>
  </si>
  <si>
    <t xml:space="preserve">Número total de citas de cirugía de cabeza y cuello de primera vez asignadas </t>
  </si>
  <si>
    <t>Tiempo promedio de espera para la asignación de cita de toxicología</t>
  </si>
  <si>
    <t xml:space="preserve">Expresa el tiempo de espera en dias calendario que transcurren entre la fecha de solicitud de la cita para la consulta por toxicología de primera vez y la fecha en la cual el usuario lo solicitó </t>
  </si>
  <si>
    <t xml:space="preserve">Cociente entre la sumatoria de la diferencia de los dias calendario entre la fecha en la que se asignó la cita de toxicología de primera vez y la fecha en la cual el usuario la solicitó y el número total de citas de toxicología de primera vez  asignadas en un periodo determinado </t>
  </si>
  <si>
    <t xml:space="preserve">Sumatoria de la diferencia de dias calendario entre la fecha en la que se asignó la cita de toxicología de primera vez y la fecha en la cual el usuario la solicitó </t>
  </si>
  <si>
    <t xml:space="preserve">Número total de citas de toxicología de primera vez asignadas </t>
  </si>
  <si>
    <t>Tiempo promedio de espera para la asignación de cita de cirugía oral</t>
  </si>
  <si>
    <t xml:space="preserve">Expresa el tiempo de espera en dias calendario que transcurren entre la fecha de solicitud de la cita para la consulta por cirugía oral de primera vez y la fecha en la cual el usuario lo solicitó </t>
  </si>
  <si>
    <t xml:space="preserve">Cociente entre la sumatoria de la diferencia de los dias calendario entre la fecha en la que se asignó la cita de cirugía oral de primera vez y la fecha en la cual el usuario la solicitó y el número total de citas de cirugía oral de primera vez  asignadas en un periodo determinado </t>
  </si>
  <si>
    <t xml:space="preserve">Sumatoria de la diferencia de dias calendario entre la fecha en la que se asignó la cita de cirugía oral de primera vez y la fecha en la cual el usuario la solicitó </t>
  </si>
  <si>
    <t xml:space="preserve">Número total de citas de cirugía oral de primera vez asignadas </t>
  </si>
  <si>
    <t>Tiempo promedio de espera para la asignación de cita de cirugía neurológica</t>
  </si>
  <si>
    <t xml:space="preserve">Expresa el tiempo de espera en dias calendario que transcurren entre la fecha de solicitud de la cita para la consulta por cirugía neurológica de primera vez y la fecha en la cual el usuario lo solicitó </t>
  </si>
  <si>
    <t xml:space="preserve">Cociente entre la sumatoria de la diferencia de los dias calendario entre la fecha en la que se asignó la cita de cirugía neurológica de primera vez y la fecha en la cual el usuario la solicitó y el número total de citas de cirugía neurológica de primera vez  asignadas en un periodo determinado </t>
  </si>
  <si>
    <t xml:space="preserve">Sumatoria de la diferencia de dias calendario entre la fecha en la que se asignó la cita de cirugía neurológica de primera vez y la fecha en la cual el usuario la solicitó </t>
  </si>
  <si>
    <t xml:space="preserve">Número total de citas de cirugía neurológica de primera vez asignadas </t>
  </si>
  <si>
    <t xml:space="preserve">Tiempo promedio de espera para la asignación de cita de medicina del dolor y cuidados paliativos </t>
  </si>
  <si>
    <t xml:space="preserve">Expresa el tiempo de espera en dias calendario que transcurren entre la fecha de solicitud de la cita para la consulta por medicina del dolor y cuidados paliativos  de primera vez y la fecha en la cual el usuario lo solicitó </t>
  </si>
  <si>
    <t xml:space="preserve">Cociente entre la sumatoria de la diferencia de los dias calendario entre la fecha en la que se asignó la cita de medicina del dolor y cuidados paliativos de primera vez y la fecha en la cual el usuario la solicitó y el número total de citas de medicina del dolor y cuidados paliativos de primera vez  asignadas en un periodo determinado </t>
  </si>
  <si>
    <t xml:space="preserve">Sumatoria de la diferencia de dias calendario entre la fecha en la que se asignó la cita medicina del dolor y cuidados paliativos de primera vez y la fecha en la cual el usuario la solicitó </t>
  </si>
  <si>
    <t xml:space="preserve">Número total de citas de medicina del dolor y cuidados paliativos de primera vez asignadas </t>
  </si>
  <si>
    <t xml:space="preserve">Tiempo promedio de espera para la asignación de cita de medicina alternativa </t>
  </si>
  <si>
    <t xml:space="preserve">Expresa el tiempo de espera en dias calendario que transcurren entre la fecha de solicitud de la cita para la consulta por medicina alternativa de primera vez y la fecha en la cual el usuario lo solicitó </t>
  </si>
  <si>
    <t xml:space="preserve">Cociente entre la sumatoria de la diferencia de los dias calendario entre la fecha en la que se asignó la cita de medicina alternativa de primera vez y la fecha en la cual el usuario la solicitó y el número total de citas de medicina alternativa de primera vez  asignadas en un periodo determinado </t>
  </si>
  <si>
    <t xml:space="preserve">Sumatoria de la diferencia de dias calendario entre la fecha en la que se asignó la cita medicina alternativa de primera vez y la fecha en la cual el usuario la solicitó </t>
  </si>
  <si>
    <t xml:space="preserve">Número total de citas de medicina alternativa de primera vez asignadas </t>
  </si>
  <si>
    <t xml:space="preserve">Tiempo promedio de espera para la asignación de cita de cirugía plástica y estética </t>
  </si>
  <si>
    <t xml:space="preserve">Expresa el tiempo de espera en dias calendario que transcurren entre la fecha de solicitud de la cita para la consulta por cirugía plástica y estética de primera vez y la fecha en la cual el usuario lo solicitó </t>
  </si>
  <si>
    <t xml:space="preserve">Cociente entre la sumatoria de la diferencia de los dias calendario entre la fecha en la que se asignó la cita de cirugía plástica y estética de primera vez y la fecha en la cual el usuario la solicitó y el número total de citas de cirugía plástica y estética de primera vez  asignadas en un periodo determinado </t>
  </si>
  <si>
    <t xml:space="preserve">Sumatoria de la diferencia de dias calendario entre la fecha en la que se asignó la cita cirugía plástica y estética de primera vez y la fecha en la cual el usuario la solicitó </t>
  </si>
  <si>
    <t xml:space="preserve">Número total de citas de cirugía plástica y estética de primera vez asignadas </t>
  </si>
  <si>
    <t xml:space="preserve">Tiempo promedio de espera para la asignación de cita de ortopdia oncológica </t>
  </si>
  <si>
    <t xml:space="preserve">Expresa el tiempo de espera en dias calendario que transcurren entre la fecha de solicitud de la cita para la consulta por ortopedia oncológica de primera vez y la fecha en la cual el usuario lo solicitó </t>
  </si>
  <si>
    <t xml:space="preserve">Cociente entre la sumatoria de la diferencia de los dias calendario entre la fecha en la que se asignó la cita de ortopedia oncológica de primera vez y la fecha en la cual el usuario la solicitó y el número total de citas de ortopedia oncológica de primera vez  asignadas en un periodo determinado </t>
  </si>
  <si>
    <t xml:space="preserve">Sumatoria de la diferencia de dias calendario entre la fecha en la que se asignó la cita ortopedia oncológica de primera vez y la fecha en la cual el usuario la solicitó </t>
  </si>
  <si>
    <t xml:space="preserve">Número total de citas de ortopedia oncológica de primera vez asignadas </t>
  </si>
  <si>
    <t xml:space="preserve">Tiempo promedio de espera para la asignación de cita de urología oncológica </t>
  </si>
  <si>
    <t xml:space="preserve">Expresa el tiempo de espera en dias calendario que transcurren entre la fecha de solicitud de la cita para la consulta por urología oncológica de primera vez y la fecha en la cual el usuario lo solicitó </t>
  </si>
  <si>
    <t xml:space="preserve">Cociente entre la sumatoria de la diferencia de los dias calendario entre la fecha en la que se asignó la cita de urología oncológica de primera vez y la fecha en la cual el usuario la solicitó y el número total de citas de urología oncológica de primera vez  asignadas en un periodo determinado </t>
  </si>
  <si>
    <t xml:space="preserve">Sumatoria de la diferencia de dias calendario entre la fecha en la que se asignó la cita urología oncológica de primera vez y la fecha en la cual el usuario la solicitó </t>
  </si>
  <si>
    <t xml:space="preserve">Número total de citas de urología oncológica de primera vez asignadas </t>
  </si>
  <si>
    <t xml:space="preserve">Tiempo promedio de espera para la asignación de cita de hematología oncológica </t>
  </si>
  <si>
    <t xml:space="preserve">Expresa el tiempo de espera en dias calendario que transcurren entre la fecha de solicitud de la cita para la consulta por hematología oncológica de primera vez y la fecha en la cual el usuario lo solicitó </t>
  </si>
  <si>
    <t xml:space="preserve">Cociente entre la sumatoria de la diferencia de los dias calendario entre la fecha en la que se asignó la cita de hematología oncológica de primera vez y la fecha en la cual el usuario la solicitó y el número total de citas de hematología oncológica de primera vez  asignadas en un periodo determinado </t>
  </si>
  <si>
    <t xml:space="preserve">Sumatoria de la diferencia de dias calendario entre la fecha en la que se asignó la cita hematología oncológica de primera vez y la fecha en la cual el usuario la solicitó </t>
  </si>
  <si>
    <t xml:space="preserve">Número total de citas de hematología oncológica de primera vez asignadas </t>
  </si>
  <si>
    <t xml:space="preserve">Tiempo promedio de espera para la asignación de cita de cirugía gastrointestinal </t>
  </si>
  <si>
    <t xml:space="preserve">Cociente entre la sumatoria de la diferencia de los dias calendario entre la fecha en la que se asignó la cita de cirugía gastrointestinal de primera vez y la fecha en la cual el usuario la solicitó y el número total de citas de cirugía gastrointestinal  de primera vez  asignadas en un periodo determinado </t>
  </si>
  <si>
    <t xml:space="preserve">Sumatoria de la diferencia de dias calendario entre la fecha en la que se asignó la cita cirugía gastrointestinal de primera vez y la fecha en la cual el usuario la solicitó </t>
  </si>
  <si>
    <t xml:space="preserve">Número total de citas de cirugía gastrointestinal de primera vez asignadas </t>
  </si>
  <si>
    <t xml:space="preserve">Tiempo promedio de espera para la asignación de cita de inmunología </t>
  </si>
  <si>
    <t xml:space="preserve">Expresa el tiempo de espera en dias calendario que transcurren entre la fecha de solicitud de la cita para la consulta por inmunología de primera vez y la fecha en la cual el usuario lo solicitó </t>
  </si>
  <si>
    <t xml:space="preserve">Cociente entre la sumatoria de la diferencia de los dias calendario entre la fecha en la que se asignó la cita de inmunología de primera vez y la fecha en la cual el usuario la solicitó y el número total de citas de inmunología  de primera vez  asignadas en un periodo determinado </t>
  </si>
  <si>
    <t xml:space="preserve">Sumatoria de la diferencia de dias calendario entre la fecha en la que se asignó la cita inmunología de primera vez y la fecha en la cual el usuario la solicitó </t>
  </si>
  <si>
    <t xml:space="preserve">Número total de citas de inmunología de primera vez asignadas </t>
  </si>
  <si>
    <t xml:space="preserve">Tiempo promedio de espera para la asignación de cita de medicina del trabajo y medicina laboral </t>
  </si>
  <si>
    <t xml:space="preserve">Expresa el tiempo de espera en dias calendario que transcurren entre la fecha de solicitud de la cita para la consulta por medicina del trabajo y medicina laboral de primera vez y la fecha en la cual el usuario lo solicitó </t>
  </si>
  <si>
    <t xml:space="preserve">Cociente entre la sumatoria de la diferencia de los dias calendario entre la fecha en la que se asignó la cita de medicina del trabajo y medicina laboral de primera vez y la fecha en la cual el usuario la solicitó y el número total de citas de  medicina del trabajo y medicina labora  de primera vez  asignadas en un periodo determinado </t>
  </si>
  <si>
    <t xml:space="preserve">Sumatoria de la diferencia de dias calendario entre la fecha en la que se asignó la cita medicina del trabajo y medicina laboral de primera vez y la fecha en la cual el usuario la solicitó </t>
  </si>
  <si>
    <t xml:space="preserve">Número total de citas de medicina del trabajo y medicina laboral de primera vez asignadas </t>
  </si>
  <si>
    <t>E.3.1</t>
  </si>
  <si>
    <t>E.3.2</t>
  </si>
  <si>
    <t>E.3.3</t>
  </si>
  <si>
    <t>P.2.1</t>
  </si>
  <si>
    <t>P.2.2</t>
  </si>
  <si>
    <t>P.2.3</t>
  </si>
  <si>
    <t>P.2.6</t>
  </si>
  <si>
    <t>P.2.7</t>
  </si>
  <si>
    <t>P.2.8</t>
  </si>
  <si>
    <t>P.2.9</t>
  </si>
  <si>
    <t>P.2.10- P.2.11</t>
  </si>
  <si>
    <t>P.2.12</t>
  </si>
  <si>
    <t>P.2.13</t>
  </si>
  <si>
    <t>P.2.14</t>
  </si>
  <si>
    <t>P.2.15</t>
  </si>
  <si>
    <t>P.3.1</t>
  </si>
  <si>
    <t>P.3.2</t>
  </si>
  <si>
    <t>P.3.3</t>
  </si>
  <si>
    <t>P.3.7</t>
  </si>
  <si>
    <t>P.3.8</t>
  </si>
  <si>
    <t>P.3.9</t>
  </si>
  <si>
    <t>P.3.10</t>
  </si>
  <si>
    <t>P.3.14</t>
  </si>
  <si>
    <t>328</t>
  </si>
  <si>
    <t>334</t>
  </si>
  <si>
    <t>745</t>
  </si>
  <si>
    <t>1102</t>
  </si>
  <si>
    <t>302</t>
  </si>
  <si>
    <t>316</t>
  </si>
  <si>
    <t>330</t>
  </si>
  <si>
    <t>333</t>
  </si>
  <si>
    <t>344</t>
  </si>
  <si>
    <t>355</t>
  </si>
  <si>
    <t>372</t>
  </si>
  <si>
    <t>308</t>
  </si>
  <si>
    <t>327</t>
  </si>
  <si>
    <t>326</t>
  </si>
  <si>
    <t>332</t>
  </si>
  <si>
    <t>339</t>
  </si>
  <si>
    <t>301</t>
  </si>
  <si>
    <t>340</t>
  </si>
  <si>
    <t>363</t>
  </si>
  <si>
    <t>387</t>
  </si>
  <si>
    <t>310</t>
  </si>
  <si>
    <t>321</t>
  </si>
  <si>
    <t>323</t>
  </si>
  <si>
    <t>331</t>
  </si>
  <si>
    <t>336</t>
  </si>
  <si>
    <t>348</t>
  </si>
  <si>
    <t>345</t>
  </si>
  <si>
    <t>377</t>
  </si>
  <si>
    <t>311</t>
  </si>
  <si>
    <t>338</t>
  </si>
  <si>
    <t>343</t>
  </si>
  <si>
    <t>347</t>
  </si>
  <si>
    <t>411</t>
  </si>
  <si>
    <t>335</t>
  </si>
  <si>
    <t>303</t>
  </si>
  <si>
    <t>317</t>
  </si>
  <si>
    <t>366</t>
  </si>
  <si>
    <t>367</t>
  </si>
  <si>
    <t>383</t>
  </si>
  <si>
    <t>362</t>
  </si>
  <si>
    <t>354</t>
  </si>
  <si>
    <t>410</t>
  </si>
  <si>
    <t>218</t>
  </si>
  <si>
    <t>309</t>
  </si>
  <si>
    <t>369</t>
  </si>
  <si>
    <t>393</t>
  </si>
  <si>
    <t>395</t>
  </si>
  <si>
    <t>406</t>
  </si>
  <si>
    <t>235</t>
  </si>
  <si>
    <t>324</t>
  </si>
  <si>
    <t>407</t>
  </si>
  <si>
    <t>304</t>
  </si>
  <si>
    <t xml:space="preserve">CÓDIGO REPS </t>
  </si>
  <si>
    <t>CÓDIGO PROPIO</t>
  </si>
  <si>
    <t>I.C.01</t>
  </si>
  <si>
    <t>I.C.02</t>
  </si>
  <si>
    <t>I.C.03</t>
  </si>
  <si>
    <t>I.C.04</t>
  </si>
  <si>
    <t>I.C.05</t>
  </si>
  <si>
    <t>I.C.06</t>
  </si>
  <si>
    <t>I.C.07</t>
  </si>
  <si>
    <t>I.C.08</t>
  </si>
  <si>
    <t>I.C.09</t>
  </si>
  <si>
    <t>I.C.10</t>
  </si>
  <si>
    <t>I.C.11</t>
  </si>
  <si>
    <t>I.C.12</t>
  </si>
  <si>
    <t>I.C.13</t>
  </si>
  <si>
    <t>I.C.14</t>
  </si>
  <si>
    <t>I.C.15</t>
  </si>
  <si>
    <t>I.C.16</t>
  </si>
  <si>
    <t>I.C.17</t>
  </si>
  <si>
    <t>I.C.18</t>
  </si>
  <si>
    <t>I.C.19</t>
  </si>
  <si>
    <t>I.C.20</t>
  </si>
  <si>
    <t>I.C.21</t>
  </si>
  <si>
    <t>I.C.22</t>
  </si>
  <si>
    <t>I.C.23</t>
  </si>
  <si>
    <t>I.C.24</t>
  </si>
  <si>
    <t>I.C.25</t>
  </si>
  <si>
    <t>I.C.26</t>
  </si>
  <si>
    <t>I.C.27</t>
  </si>
  <si>
    <t>I.C.28</t>
  </si>
  <si>
    <t>I.C.29</t>
  </si>
  <si>
    <t>I.C.30</t>
  </si>
  <si>
    <t>I.C.31</t>
  </si>
  <si>
    <t>I.C.32</t>
  </si>
  <si>
    <t>I.C.33</t>
  </si>
  <si>
    <t>I.C.34</t>
  </si>
  <si>
    <t>I.C.35</t>
  </si>
  <si>
    <t>I.C.36</t>
  </si>
  <si>
    <t>I.C.38</t>
  </si>
  <si>
    <t>I.C.37</t>
  </si>
  <si>
    <t>I.C.39</t>
  </si>
  <si>
    <t>I.C.40</t>
  </si>
  <si>
    <t>I.C.41</t>
  </si>
  <si>
    <t>I.C.42</t>
  </si>
  <si>
    <t>I.C.43</t>
  </si>
  <si>
    <t>I.C.44</t>
  </si>
  <si>
    <t>I.C.45</t>
  </si>
  <si>
    <t>I.C.46</t>
  </si>
  <si>
    <t>I.C.47</t>
  </si>
  <si>
    <t>I.C.48</t>
  </si>
  <si>
    <t>I.C.49</t>
  </si>
  <si>
    <t>I.C.50</t>
  </si>
  <si>
    <t>I.C.51</t>
  </si>
  <si>
    <t>I.C.52</t>
  </si>
  <si>
    <t>I.C.53</t>
  </si>
  <si>
    <t>I.C.54</t>
  </si>
  <si>
    <t>I.C.55</t>
  </si>
  <si>
    <t>I.C.56</t>
  </si>
  <si>
    <t>I.C.57</t>
  </si>
  <si>
    <t>I.C.58</t>
  </si>
  <si>
    <t>I.C.59</t>
  </si>
  <si>
    <t>I.C.60</t>
  </si>
  <si>
    <t>I.C.61</t>
  </si>
  <si>
    <t>I.C.62</t>
  </si>
  <si>
    <t>I.C.63</t>
  </si>
  <si>
    <t>I.C.64</t>
  </si>
  <si>
    <t>I.C.65</t>
  </si>
  <si>
    <t>I.C.66</t>
  </si>
  <si>
    <t>I.C.67</t>
  </si>
  <si>
    <t>I.C.68</t>
  </si>
  <si>
    <t>I.C.69</t>
  </si>
  <si>
    <t>I.C.70</t>
  </si>
  <si>
    <t xml:space="preserve">META </t>
  </si>
  <si>
    <t xml:space="preserve">De Gestión </t>
  </si>
  <si>
    <t xml:space="preserve">Oportunidad En La Radicación De Facturas Por Proveedor  </t>
  </si>
  <si>
    <t>I.C.71</t>
  </si>
  <si>
    <t>N/A</t>
  </si>
  <si>
    <t>METODOLOGÍA</t>
  </si>
  <si>
    <t>La firma interventora accede al aplicativo dispuesto por la compañia  que registra (reporte de radicaciòn para conocer la fecha del servicio y la fecha de radicación de cada una de las facturas registradas ante Positiva), de acuerdo a la vigencia del contrato.</t>
  </si>
  <si>
    <t>Todos los REPS</t>
  </si>
  <si>
    <t>Número promedio ( aritmético) de dias</t>
  </si>
  <si>
    <t>Trimestral o mensual dependiendo de la periodicidad del informe de interventoria a reportar</t>
  </si>
  <si>
    <t xml:space="preserve">30 días calendario </t>
  </si>
  <si>
    <t>fecha de prestación del servicio u homologa</t>
  </si>
  <si>
    <t xml:space="preserve">Promedio ( aritmético) de número de dias resultado (Fecha de radicación de la factura  menos) </t>
  </si>
  <si>
    <t>Realizada Por Parte Del Del Servicio De Interventoría</t>
  </si>
  <si>
    <t>Oportunidad En La Gestion De Las Devoluciones</t>
  </si>
  <si>
    <t>I.C.72</t>
  </si>
  <si>
    <t>Número total de facturas devueltas</t>
  </si>
  <si>
    <t>Número total de facturas radicadas en el periodo a evaluar) * (por) 100%</t>
  </si>
  <si>
    <t>Del 0 % al 5 %</t>
  </si>
  <si>
    <t>Porcentaje de devoluciones</t>
  </si>
  <si>
    <t xml:space="preserve">La firma interventora accede al aplicativo que comprende la información de radicación para conocer el número de facturas devueltas debido a causa del proveedor </t>
  </si>
  <si>
    <t xml:space="preserve">Oportunidad En La Respuesta De Glosas Por Proveedores  </t>
  </si>
  <si>
    <t>I.C.73</t>
  </si>
  <si>
    <t>Promedio ( aritmético)  del número de dias (Fecha de respuesta por parte del proveedor  menos</t>
  </si>
  <si>
    <t>Fecha de notificación de glosa</t>
  </si>
  <si>
    <t xml:space="preserve">Promedio ( aritmético) de número de dias que toma el proveedor para responder glosa. </t>
  </si>
  <si>
    <t xml:space="preserve">20 días hábiles </t>
  </si>
  <si>
    <r>
      <t xml:space="preserve">La firma interventora accede al aplicativo que registra la información de auditoria,  para conocer la fecha de notificación de la glosa y la fecha de la </t>
    </r>
    <r>
      <rPr>
        <sz val="9"/>
        <rFont val="Verdana"/>
        <family val="2"/>
      </rPr>
      <t xml:space="preserve">primera </t>
    </r>
    <r>
      <rPr>
        <sz val="9"/>
        <color rgb="FF222222"/>
        <rFont val="Verdana"/>
        <family val="2"/>
      </rPr>
      <t>respuesta a la glosa por parte del proveedor.</t>
    </r>
  </si>
  <si>
    <t>Calidad En La Respuesta De Glosa Dadas Por El Proveedor</t>
  </si>
  <si>
    <t>I.C.74</t>
  </si>
  <si>
    <t>Suma del número de conciliaciones (reuniones) realizadas en el periodo a evaluar</t>
  </si>
  <si>
    <t>Informe De conciliación Cuentas Medicas</t>
  </si>
  <si>
    <t xml:space="preserve">Numéro de reuniones de conciliación </t>
  </si>
  <si>
    <t>0 a 2 reuniones</t>
  </si>
  <si>
    <t xml:space="preserve">La interventoría cuantificará de acuerdo a la información recibida del equipo de conciliación en número de veces en que se reunen con el proveedor para validar la calidad de las respuestas dadas a las glosas formuladas. </t>
  </si>
  <si>
    <t xml:space="preserve">Herramienta Tecnológica Vigente Definida Por Positiva </t>
  </si>
  <si>
    <t xml:space="preserve">EXCLUSIONES </t>
  </si>
  <si>
    <t xml:space="preserve">Fallas en la operación por parte del proveedor de radicación / inconsistencias en la herramienta tecnológica de radicación. Si no hay radicación para el periodo a medir  se debe colocar No aplica - sin radicación. </t>
  </si>
  <si>
    <t>Fallas tecnológicas o devolución errada por parte del operador de radicación. No aplica -sin devoluciones</t>
  </si>
  <si>
    <t xml:space="preserve">Inconsistencias en la herramienta tecnológica de auditoría. No aplica -sin glosa. Para los casos que al momento de la mediciòn del indicador no cuenta con respuesta estando en los terminos de ley se tomará como esta (fecha de primera respuesta)  el día que se realiza la medición del indicador. </t>
  </si>
  <si>
    <t>No aplica -sin conciliaciòn. Para los casos que al momento de la mediciòn del indicador no cuenta con glosa  generada</t>
  </si>
  <si>
    <t>Reporte remitido por los prestadores de servicios de acuerdo a lo establecido por la Resolución 256 de 2016</t>
  </si>
  <si>
    <t xml:space="preserve">30 mínutos </t>
  </si>
  <si>
    <t>Ley 1438 de 2011 – Decreto Ley 019 de 2012 – Resolución 1552 de 2013- Resolución 4678 de 2015- Resolución 256 de 2016- Resolución 5596 de 2015</t>
  </si>
  <si>
    <t xml:space="preserve">13.7 días </t>
  </si>
  <si>
    <t>13.16 días</t>
  </si>
  <si>
    <t>&lt;1,43%</t>
  </si>
  <si>
    <t>&lt;1%</t>
  </si>
  <si>
    <t xml:space="preserve">5 días habiles </t>
  </si>
  <si>
    <t>La firma de interventoria solicita a los proveedores de prestaciones de servicios de salud con los cuales se tiene contrato vigente, copia del reporte de indicadores de calidad de acuerdo a la Resolución 256 de 2016</t>
  </si>
  <si>
    <t xml:space="preserve">Oportunidad </t>
  </si>
  <si>
    <t>Entrega de medicamentos  pendientes desde el punto de dispensación</t>
  </si>
  <si>
    <t>I.C.75</t>
  </si>
  <si>
    <t>Número de ítems  pendientes entregados  en 48 horas en el mes) 
*100</t>
  </si>
  <si>
    <t>Aplicativo Proveedor y/o reporte de dispensación del proveedor y reporte de prescripción.</t>
  </si>
  <si>
    <t>NA</t>
  </si>
  <si>
    <t>Porcentaje</t>
  </si>
  <si>
    <t xml:space="preserve">Mensual </t>
  </si>
  <si>
    <t xml:space="preserve">Se tendrá en cuenta los horarios de atención de cada punto de dispensación.
* Las formulas de control especial según la  Resolución 1478 de 2006 y según normatividad vigente para medicamentos de control especial.
* Se excluyen por razones legales los medicamentos no aprobados por el INVIMA y aquellos que aunque se tenga registro no se comercializan en Colombia, con previo y oportuno reporte a la línea de atención y registro en bitacora de Cuida 2.
* Situaciones externas que dificulten la entrega oportuna de los medicamentos que no dependa directamente del proveedor, previo reporte y validación de la interventoría que indique la gestión por parte del proveedor en prestar un servicio de calidad y los términos pactados (Acuerdos de entrega con el asegurado, registro en Bitacora Cuida 2, entre otros); y Positiva.
* Productos Vitales no disponibles, preparados magistrales(Según aplique a la oferta de medicamentos). </t>
  </si>
  <si>
    <t>Medicamentos con carta vigente (no mayor a 60 días) de desabastecido del laboratorio fabricante del medicamento o certificación del operador logístico
* Medicamentos con carta vigente (no mayor a 60 días, con fecha tentativa de existencia) de agotado del laboratorio fabricante del medicamento o certificación del operador logístico
* Medicamentos con carta vigente (no mayor a 60 días, con fecha tentativa de existencia) de descontinuado del laboratorio fabricante del medicamento o certificación del operador logístico
* Casos en donde no se genere contacto con el asegurado para coordinar la entrega del medicamento, con el registro en la bitacora en Cuida 2; el proveedor tendrá el compromiso de entregar el medicamento cuando se logre comunicación con el afiliado.
* Casos donde el asegurado no realice el retiro oportuno del medicamento (en caso de que aplique dispensación en punto), estos deben estar debidamente soportados en las bitácoras de la herramienta Cuida 2.0
* Casos donde el asegurado nunca realice el retiro del medicamento (en caso de que aplique dispensación en punto), estos deben estar debidamente soportados en las bitácoras de herramienta Cuida 2.0
* Casos donde existan inconsistencias en la relación Formula Medica/Autorización, como por ejemplo, errores de prescripción.
*Autorizaciones fuera de la cobertura del proveedor asignado
*Dificultad de consecución de los productos (Principalmente productos nuevos en las entregas por parte de los proveedores)
*Demoras en las entregas por transportadoras (Validación que el proveedor haya realizado el envío en un tiempo acorde a lo pactado con estos)</t>
  </si>
  <si>
    <t>I.C.76</t>
  </si>
  <si>
    <t>(Total de autorizaciones 
asignadas al proveedor 
para entrega en punto de 
dispensación con ítems 
pendientes en el mes)</t>
  </si>
  <si>
    <t>Reporte de autorizaciones de medicamentos del Aplicativo Cuida 2</t>
  </si>
  <si>
    <t>Una vez generada la autorización el proveedor deberá comunicarse con el asegurado para coordinar la entrega.
* Para la medición de este indicador se tendrán en cuenta las autorizaciones que se generan para entrega en el punto de dispensación y que de acuerdo a la gestión del proveedor quedan ítems de la autorización pendientes por entrega.
* La medición se realiza con la validación del 100% de las autorizaciones asignadas al proveedor e identificación de autorizaciones con ítems pendientes.
* La medición se realiza desde la fecha y hora en que se generó el pendiente, hasta la fecha y hora de entrega total del medicamento pendiente.
* El 100% de los pendientes deben ser gestionados en 48 horas ya sea zona urbana o rural. 
* El proveedor deberá indicar en la bitácora del aplicativo Cuida 2 la trazabilidad de la entrega y 100% de cumplimiento.
* En la bitacora deberá indicar el número de guía y nombre de la empresa de correspondencia con la cual se envía los medicamentos pendientes.
* Si no se cuenta con la trazabilidad de la entrega y/o envio del medicamento, ya sea en la bitacora de Cuida 2 o con el reporte de dispensación del proveedor, se tomará como no entregado.</t>
  </si>
  <si>
    <t xml:space="preserve"> Entrega de  medicamentos a 
domicilio</t>
  </si>
  <si>
    <t>(Número de ítems de  autorizaciones 
asignadas entregados  máximo en 48 horas en  el mes) *100</t>
  </si>
  <si>
    <t>Medicamentos con carta vigente (no mayor a 60 días) de desabastecido del laboratorio fabricante del medicamento o certificación del operador logístico.
* Medicamentos con carta vigente (no mayor a 60 días, con fecha tentativa de existencia) de agotado del laboratorio fabricante del medicamento o certificación del operador logístico.
* Medicamentos con carta vigente (no mayor a 60 días, con fecha tentativa de existencia) de descontinuado del laboratorio fabricante del medicamento o certificación del operador logístico.
* Casos en donde no se genere contacto con el asegurado para coordinar la entrega del medicamento, con el registro en la bitacora en Cuida 2; el proveedor tendrá el compromiso de entregar el medicamento cuando se logre comunicación con el afiliado.
*Autorizaciones fuera de la cobertura del proveedor asignado.
*Dificultad de consecución de los productos (Principalmente productos nuevos en las entregas por parte de los proveedores).
*Demoras en las entregas por transportadoras (Validación que el proveedor haya realizado el envío en un tiempo acorde a lo pactado con estos).</t>
  </si>
  <si>
    <t>Una vez generada la autorización el proveedor deberá comunicarse con el asegurado para coordinar el envío del total de los medicamentos.
* Para la medición de este indicador se tendrán en cuenta las autorizaciones que se generan para a domicilio.
* La medición se realiza con la validación del 100% de las autorizaciones asignadas al proveedor para entrega a domicilio.
* La medición se realiza desde la fecha y hora de la autorización hasta la fecha y hora de entrega total del medicamento por parte del proveedor de domicilio.
* El 100% de las autorizaciones asignadas para entrega a domicilio deben ser gestionadas máximo en 48 horas ya sea zona urbana o rural. 
* El proveedor deberá indicar en la bitácora del aplicativo Cuida 2 la trazabilidad de la entrega y 100% de cumplimiento.
* En la bitacora deberá indicar el número de guía y nombre de la empresa de correspondencia con la cual se envía el total de los medicamentos solicitados.
* Si no se cuenta con la trazabilidad de la entrega y/o envio del medicamento, ya sea en la bitacora de Cuida 2 o con el reporte de dispensación del proveedor, se tomará como no entregado.</t>
  </si>
  <si>
    <t xml:space="preserve">Calidad </t>
  </si>
  <si>
    <t>Pertinencia de las PQRD</t>
  </si>
  <si>
    <t>I.C.77</t>
  </si>
  <si>
    <t>Procedentes a cargo del  proveedor en el mes) *100</t>
  </si>
  <si>
    <t>(Total de autorizaciones 
asignadas al proveedor 
en el mes)</t>
  </si>
  <si>
    <t>Reporte consolidado de las PQR procedentes a cargo del proveedor</t>
  </si>
  <si>
    <t>0.5%</t>
  </si>
  <si>
    <t>* El proveedor tiene el compromiso de apoyar la respuesta de las PQR que le sean escaladas máximo dentro de 48 horas.
* Las PQR que no cuenten con apoyo de respuesta se tomarán como procedentes (silencio administrativo).
* Para medición del indicador se revisará el reporte de PQR procedentes generado por  el proveedor a cargo de gestionar las PQR de la Gerencia Médica.</t>
  </si>
  <si>
    <t>Satisfacción</t>
  </si>
  <si>
    <t>I.C.78</t>
  </si>
  <si>
    <t>Número de encuestados con calificación igual o mayor de 4 en el mes) * 100</t>
  </si>
  <si>
    <t>(Total de encuestados seleccionados de la 
muestra en el mes)</t>
  </si>
  <si>
    <t>Reporte con la selección y resultado de la encuesta sobre la muestra de los asegurados encuestados</t>
  </si>
  <si>
    <t xml:space="preserve"> Se tomará una muestra del 10% sobre los autorizaciones asignadas al proveedor en el mes.
* Para realizar la encuesta se realizarán llamadas a los asegurados de las autorizaciones asignadas al proveedor en el mes de evaluación.
*La encuesta a aplicar y la participación (peso)  de las preguntas son  aprobadas por Positiva ARL.
*La encuesta será socializada previamente a la aplicación.
*El resultado de la encuesta se realizará por asegurado, teniendo en cuenta el peso de participación de cada pregunta.
*La encuesta a aplicar evaluara los aspectos de Calidad General con un peso del 40%; Trato con un peso del 40% y Dispensación informada con un 20% de participación en el resultado.</t>
  </si>
  <si>
    <t>* Medicamentos con carta vigente (no mayor a 60 días) de desabastecido del laboratorio fabricante del medicamento o certificación del operador logístico.
* Medicamentos con carta vigente (no mayor a 60 días, con fecha tentativa de existencia) de agotado del laboratorio fabricante del medicamento o certificación del operador logístico.
* Medicamentos con carta vigente (no mayor a 60 días, con fecha tentativa de existencia) de descontinuado del laboratorio fabricante del medicamento o certificación del operador logístico.
*Autorizaciones fuera de la cobertura del proveedor asignado.
*Casos en donde se puntualice la no conformidad (Pendientes, entre otros), pero al verificar lo registrado por el asegurado desde interventoría, se evidencie que no hay afectación en el servicio farmacéutico por parte del proveedor.</t>
  </si>
  <si>
    <t>I.C.79</t>
  </si>
  <si>
    <t>Número de AUTORIZACIONES ENTREGADAS COMPLETAS
según compromiso adquirido EN TIEMPO por el proveedor *100</t>
  </si>
  <si>
    <t>Soportes de las remisiones con fecha- hora -firma de recibido por parte de la IPS</t>
  </si>
  <si>
    <t>Número total de AUTORIZACIO NES EMITIDAS POR LA COMPAÑÍA</t>
  </si>
  <si>
    <t>Número total de AUTORIZACIONES EMITIDAS POR LA COMPAÑÍA</t>
  </si>
  <si>
    <t>Reporte de autorización es del Aplicativo Tecnológica designado por la Compañía.</t>
  </si>
  <si>
    <t>Medición desde el compromiso de entrega por parte del proveedor. Según área geográfica ofertada por el proveedor
*El tiempo de entrega del material de osteosíntesis se tendrá en cuenta, a partir de la programación de cirugía por parte de la IPS.</t>
  </si>
  <si>
    <t>*	La oportunidad de la entrega se validará de acuerdo a los tiempos definidos y compromiso de entrega.
*	El proveedor entregará el 100% de los soportes de las remisiones con fecha- hora -firma de recibido por parte de la IPS atendidos en el periodo evaluado.
Peso porcentual:
30%</t>
  </si>
  <si>
    <t>•	Situación especial que genere un impedimento de entrega oportuna del material correspondiente, con evidencia de reporte.
•	Autorización anulada, siempre y cuando el motivo de la anulación no sea por inoportunidad de entrega del material.
•	Autorización Anulada por vencimiento.
•	Médico/IPS, no aceptan el material entregado por el proveedor. (calidad del material)
•	Proveedor entrega el material, sin embargo, no es utilizado en el procedimiento quirúrgico.
•	Pendiente programación de cirugía.
•	Motivos de fuerza mayor. (mediante reporte mensual definiendo los criterios de no cumplimiento)
•	En los casos donde el médico cirujano ordene material de osteosíntesis adicional al autorizado posterior a la entrega por parte del proveedor de lo autorizado inicialmente</t>
  </si>
  <si>
    <t>I.C.80</t>
  </si>
  <si>
    <t>Adherencia a la herramienta a Tecnológica a designada por la compañía</t>
  </si>
  <si>
    <t>Número de cargues completos en bitácora - Herramienta tecnológica de POSITIVA *
100</t>
  </si>
  <si>
    <t>Bitácoras de la herramienta tecnológica de la compañía</t>
  </si>
  <si>
    <t>Número total de autorizaciones emitidas</t>
  </si>
  <si>
    <t>El registro en la bitácora de la herramienta tecnológica de la compañía, contará con la siguiente información (compromiso de entrega, novedades, entrega efectiva):
Compromiso de entrega: paciente – fecha – hora de cirugía – fecha – hora de entrega – material – persona de contacto en la IPS. (Registro en bitácora máximo 2 días hábiles)
Novedades: paciente- IPS -descripción del evento – notificación del evento IPS, ente autorizador (nombre-fecha-hora), requiere soporte técnico (nombre-fecha-hora). (Registro en bitácora máximo 2 días hábiles)
Entrega efectiva: fecha - hora de entrega –material entregado- persona que recibe en la IPS (Registro en bitácora máximo 4 días hábiles).
*En las autorizaciones vencidas debe quedar la nota de escalamiento a la operación para renovar la autorización.
* En autorizaciones anuladas por causa del proveedor debe quedar la nota de la causa por parte del prestador para no dar cumplimiento al servicio.</t>
  </si>
  <si>
    <t>* El proveedor deberá registrar en la bitácora del aplicativo tecnologico de la compañía el compromiso de entrega, novedades y entrega efectiva de cada uno de los suministros autorizados.
Peso porcentual:
30%</t>
  </si>
  <si>
    <t>•	Falla en la herramienta de gestión establecida por la compañía
•	Autorización anulada siempre y cuando no sea por una causa atribuible al proveedor
•	Pendiente programación de cirugía.</t>
  </si>
  <si>
    <t>Calidad del material de osteosíntesis</t>
  </si>
  <si>
    <t>I.C.81</t>
  </si>
  <si>
    <t xml:space="preserve">Adherencia </t>
  </si>
  <si>
    <t>Número de reintervenciones asociadas a fatiga o fallas de calidad del material de osteosíntesis</t>
  </si>
  <si>
    <t>Bitácoras herramienta tecnológica de la compañía</t>
  </si>
  <si>
    <t xml:space="preserve">Número </t>
  </si>
  <si>
    <t>*	Las reintervenciones: extracciones de dispositivos relacionados con ruptura, cambios en el diseño no notificados al cliente, fallas o falencias en las materias primas del dispositivo.
*	El proveedor tiene un periodo de 30 días hábiles para demostrar que la falla no es atribuible a la calidad del producto.
*	En caso que se presente posible falla del material o fractura del mismo, se debe garantizar el envío del material fracturado a la respectiva casa fabricante para que se le realice la trazabilidad de acuerdo al lote de fabricación que tiene cada pieza de material y así se genere un informe de total confianza para POSITIVA
ARL y poder definir si el evento ocurrido tiene o no que ver con la calidad de fabricación.
Peso porcentual: 20%</t>
  </si>
  <si>
    <t>I.C.82</t>
  </si>
  <si>
    <t>Número de autorizaciones anuladas por no disponibilidad *100</t>
  </si>
  <si>
    <t>Soportes de anulación de autorización es por no disponibilida Reporte de autorización es del Aplicativo Tecnológico designado por la compañía</t>
  </si>
  <si>
    <t>Para aplicación de una exclusión esta debe estar debidamente soportada por parte del proveedor, en caso de no contar con soportes no será tomado como exclusión.</t>
  </si>
  <si>
    <t>*	Anulación por no entrega o no disponibilidad de material a causa de desastres naturales.
*	Anulación por no entrega o no disponibilidad de material por Casos fortuitos y/o eventos de fuerza mayor.
*	Anulación por no entrega o no disponibilidad de material por Problemas de orden público.
*	Anulación por no entrega o no disponibilidad de material por Escasez de insumos por importación o materia prima escasa.
*	Anulación por no entrega o no disponibilidad de material por elemento no contratado dentro del portafolio de servicios</t>
  </si>
  <si>
    <t>*	La oportunidad de la entrega se validará de acuerdo a los tiempos definidos y compromiso de entrega.
*	El proveedor entregará el 100% de los soportes de anulación de autorizacione s por no disponibilidad.
Peso porcentual:
20%</t>
  </si>
  <si>
    <t>Oportunidad De Atencion No Covid</t>
  </si>
  <si>
    <t>I.C.83</t>
  </si>
  <si>
    <t xml:space="preserve"> Número de casos contactados dentro de las 24 a 48 horas siguientes a la generación de la autorización paquete riesgo biologico evidenciado en el aplicativo cuida 2</t>
  </si>
  <si>
    <t>Aplicativo Positiva CUIDA 2/ consulta integral/ bitacora publica//gestión de autorizaciones</t>
  </si>
  <si>
    <t>N° total de casos asignados al proveedor de riesgo biologico por el aplicativo Positiva Cuida 2 con generación paquete riesgo biologico</t>
  </si>
  <si>
    <t>Porcentaje factor: 100</t>
  </si>
  <si>
    <t>Para efectos de la aplicación de los Acuerdos de Niveles de Servicios, se establece que la medición se efectuará mes vencido.
•El seguimiento del 100% de los casos debe estar registrado en Positiva Cuida 2. 
•El proveedor solamente entrega medicamentos para Terapia antirretroviral e inmunológica
•El proveedor no entregará medicamentos a los pacientes COVID-19 tratados, ni en desarrollo de secuelas.
•No serán motivo de sanción los tiempos prolongados en la captura de los casos asignados si se soportan daños o actualizaciones en el sistema de la ARL Positiva, fuente de información principal de los asegurados y gestión.  
•Los casos reasignados a otros proveedores serán excluidos siempre y cuando se soporte con la anulación del servicio y generación de una nueva autorización/ asignacion de caso a nuevo proveedor.
•Los casos que NO cuenten con contacto efectivo despues de solicitar escalamiento, actualizaciones de datos serán retirados de la asignacion general del proveedor por NO CONTACTO.
•Los casos en seguimiento por curso de la enfermedad y complicaciones deberán ser soportados mediante bitacoras y serán excluidos del cierre establecido por protocolo.
•Los asegurados que NO deseen ser atendidos por el proveedor deben ser retirados del total de las asignaciones autorizadas.</t>
  </si>
  <si>
    <t>Caracteristica: intentos de contacto y Contacto efectivo de los asegurados dentro de las primeras 24 horas de autorizado el paquete de riesgo biológico que corresponda al 97% de la asignacion total de casos al proveedor.
Contacto de los asegurados dentro de las 25 horas hasta las 48 horas de autorizado el paquete de resigo biologico y que corresponda al 3% restante del total de la asignación al proveedor.
•Verificación de fechas en gestion de la autorizacion emitida para activación de paquete de riesgo biológico.</t>
  </si>
  <si>
    <t xml:space="preserve">Suministro de datos no efectivos del asegurado para inicio del proceso de atención en activación del paquete de riesgo biológico. Caso sin siniestro calificado no se presta el servicio.
•Anulación de la autorización emitida para atención por paquete de riesgo biologico al proveedor.   </t>
  </si>
  <si>
    <t>Oportunidad De Entrega Y Control Terapia Antirretroviral</t>
  </si>
  <si>
    <t>I.C.84</t>
  </si>
  <si>
    <t>Número de casos con entrega de profilaxis post exposición (PPE) dentro de las 72 horas posteriores a la asignación.</t>
  </si>
  <si>
    <t>Número  total de casos autorizados que requieran profilaxis post exposición (PPE) en el periodo evaluado.</t>
  </si>
  <si>
    <t>Aplicativo Positiva CUIDA 2/ consulta integral/ bitacora publica.</t>
  </si>
  <si>
    <t>Caracteristica: Entrega de la terapia antirretroviral al total de los asegurados que requieran inicio de la profilaxis por post-exposicion que determine casos sospechos/confirmados  de infección por VIH.
•Entrega de medicamentos en las ciudades convenio de cobertura del proveedor.
•Reposición de los Kits a las sucursales /IPSs correspondientes. Si hay cumplimiento de los requisitos de soporte de uso con paciente Positiva, autorización de paquete de riesgo biológico o retorno de los kits sin uso 4 meses antes de su vencimiento. 
•Sujeto a  cambios de acuerdo a las actualizaciones del Protocolos nacionales para el manejo del accidente.</t>
  </si>
  <si>
    <t>Adherencia del asegurado al protocolo de atención - profilaxis.</t>
  </si>
  <si>
    <t>Casos Cerrados No Covid</t>
  </si>
  <si>
    <t>I.C.85</t>
  </si>
  <si>
    <t>Número de casos cerrados por No contacto/ No contagio que cumplen con los criterios de cierre.</t>
  </si>
  <si>
    <t>Número Total de casos no contactados en el periodo evaluado</t>
  </si>
  <si>
    <t>plicativo Positiva CUIDA 2/ consulta integral/ bitacora publica//gestión de autorizaciones</t>
  </si>
  <si>
    <t>Criterios de No contacto: Sin contacto efectivo para iniciar ciclo de atención, despues de escalonamiento y realización de llamadas de acuerdo a los terminnos de oportunidad y especificaciones.
•Emision de carta de cierre por No contacto y cargue respectivo dentro de las siguientes 24 horas del cierre registrado en bitacora pública en el aplicativo Cuida 2. 
Criterios de No Contagio: Verificación mediante examenes de apoyo diagnostico/sintomatologia y pertinencia medica sin indicios de ciclo infeccioso</t>
  </si>
  <si>
    <t>No contacto: Actualizaciones con datos NO efectivos.
•Registro de números de contacto  incompletos.
No Contagio: Adherencia del asegurado al protocolo de toma de muestra para confirmación del caso infeccioso.</t>
  </si>
  <si>
    <t>I.C.86</t>
  </si>
  <si>
    <t>I.C.87</t>
  </si>
  <si>
    <t>I.C.88</t>
  </si>
  <si>
    <t>I.C.89</t>
  </si>
  <si>
    <t xml:space="preserve">Número  de PQRS procedentes radicadas a la ARL en el mes por gestión del proveedor de Riesgo biológico </t>
  </si>
  <si>
    <t>Base de quejas procedentes radicadas a la ARL</t>
  </si>
  <si>
    <t>Número total de casos asignados al  proveedor de Riesgo Biológico, por el aplicativo Positiva Cuida 2 en el mes.</t>
  </si>
  <si>
    <t>Menor o igual a 2%</t>
  </si>
  <si>
    <t>Característica: Número de quejas procedentes para la ARL, radicadas y soportadas en la base de PQRS en desarrollo de la atención pactada con el  proveedor de riesgo biológico en el mes.</t>
  </si>
  <si>
    <t>I.C.90</t>
  </si>
  <si>
    <t xml:space="preserve">Porcentaje </t>
  </si>
  <si>
    <t>Las solicitudes que no sean atendidas en los tiempos establecidos en estos ANS, deberán ser soportadas evidenciando que la demora sea causada por un hecho atribuible a un tercero, para ser consideradas como una exclusión si es el caso.
* La fuente de información será la registrada en las bitácoras de la herramienta de gestión del siniestro de la compañia , sin excepción alguna.
* Los casos en los que se evidencien fallas en la solicitud de la gestión, empieza a contar el tiempo para medición del  ANS a partir de la asignación de la solictud.  
* Los tiempos se medirán teniendo en cuenta días hábiles y horarios hábiles (6am a 6pm).
* Fallas en la herramienta de gestión del siniestro  de la compañia, que dificulten la gestión de las solicitudes. Se debe remitir la evidencia.</t>
  </si>
  <si>
    <t>Los casos rechazados por falta de ruta por parte del proveedor.
* Los casos anulados, los casos solicitud duplicada, los casos con reprogramación de reserva a causa de una solicitud del usuario o del proveedor logístico.
* Se excluye el servicio de lavandería.</t>
  </si>
  <si>
    <t>I.C.91</t>
  </si>
  <si>
    <t>I.C.92</t>
  </si>
  <si>
    <t>I.C.93</t>
  </si>
  <si>
    <t xml:space="preserve">Oportunidad Gestión de requerimientos realizados por Positiva </t>
  </si>
  <si>
    <t>I.C.94</t>
  </si>
  <si>
    <t>Número de requerimientos atendidos dentro de los tiempos establecidos</t>
  </si>
  <si>
    <t>Correo electrónico</t>
  </si>
  <si>
    <t>Número de requerimientos realizados por Positiva en el mes</t>
  </si>
  <si>
    <t xml:space="preserve"> Los requerimientos de tarifas y de soportes de cumplimiento de las obligaciones contractuales realizadas por Positiva deben ser tramitados en un lapso de tiempo de (2) dos días hábiles a partir de la solicitud
* En caso que el requerimiento de tarifas sea de Tutela, el proveedor cuenta con 1 (un) día hábil para emitir respuesta a partir de la solictud. 
* El indicador se medirá teniendo en cuenta la fecha del correo electrónico de solicitud y la fecha del correo electrónico de respuesta por parte del proveedor a la solicitud. </t>
  </si>
  <si>
    <t xml:space="preserve"> Oportunidad de gestión de respuesta de PQR</t>
  </si>
  <si>
    <t>I.C.95</t>
  </si>
  <si>
    <t>Número de PQR contestadas en los tiempos establecidos</t>
  </si>
  <si>
    <t>Reporte de gestión de proveedor PQRS emitida por Positiva, correos electrónicos de Positiva y del Proveedor de respuesta de PQR</t>
  </si>
  <si>
    <t>Número de PQR escaladas al proveedor en el mes</t>
  </si>
  <si>
    <t>Se realiza validación de reporte de gestión de respuesta a PQRS del proveedor, según los escalamientos realizados por el área de gestión de PQRS de RED de la vicepresidencia técnica. El proveedor cuenta con (2) dos días hábiles para emitir respuesta posterior al escalamiento.</t>
  </si>
  <si>
    <t>I.C.96</t>
  </si>
  <si>
    <t>Número de solicitudes con gestión completa en bitácora</t>
  </si>
  <si>
    <t>Verificación de las bitácoras en el Aplicativo Cuida 2</t>
  </si>
  <si>
    <t>Número de solicitudes asignados en el mes</t>
  </si>
  <si>
    <t>Adherencia a la herramienta transaccional</t>
  </si>
  <si>
    <t>Se realizará seguimiento frente a los registros en la bitácora, notificación por correo al usuario y al operador logístico,  datos de reserva, trazabilidad del caso, novedades al 95% de los servicios tramitados</t>
  </si>
  <si>
    <t>I.C.97</t>
  </si>
  <si>
    <t>I.C.98</t>
  </si>
  <si>
    <t>Descuento del 0,5 % sobre el valor de la radicación de facturas del periodo evaluado.</t>
  </si>
  <si>
    <t>Pqrd favorables para el consumidor</t>
  </si>
  <si>
    <t>I.C.99</t>
  </si>
  <si>
    <t>Número de PQRD favorables para el consumidor en el mes</t>
  </si>
  <si>
    <t>el total de PQRD asignadas al proveedor en el mes</t>
  </si>
  <si>
    <t>Reporte PQRD grupo GISAT y registros de quejas de conocimiento de la interventoría</t>
  </si>
  <si>
    <t xml:space="preserve">Nominal </t>
  </si>
  <si>
    <t>°Reporte PQRD grupo GISAT y quejas de conocimiento de la interventoría
°Descuento del 0,5 % sobre el valor de la radicación de facturas del periodo evaluado.</t>
  </si>
  <si>
    <t>Eventos catastróficos de origen natural los sismos, maremotos, erupciones volcánicas, deslizamientos de tierra, inundaciones, avalanchas, vendavales, huracanes, tornados, incendios y rayos. Al igual que aquellos que sean ocasionados por el orden público, marchas, protestas, bloqueos y condiciones que afectan a la comunidad en general. Situaciones atribuibles a terceros, liberación del servicio, autorizaciones, manejo de los tiempos. Negativa a la toma del servicio por parte del usuario (con justificación y/o evidencia).</t>
  </si>
  <si>
    <t>Nivel de satisfacción del servicio</t>
  </si>
  <si>
    <t>I.C.100</t>
  </si>
  <si>
    <t>Promedio de calificación de los criterios de satisfacción del servicio por parte de los afiliados</t>
  </si>
  <si>
    <t>Reporte de casos seleccionados en la muestra para llamadas con la evaluación de los criterios de satisfacción</t>
  </si>
  <si>
    <t>•	Descuento del 0,5 % sobre el valor de la radicación de facturas del periodo evaluado.
* La firma interventora seleccionará la muestra para la evaluación.</t>
  </si>
  <si>
    <t>* Llamadas a los usuarios, según muestra 
* Aplicar muestra del 93% de nivel de confianza y 7% de margen de error, al número de servicios autorizados del mes anterior, de los servicios aceptados por el proveedor.
* La firma auditora seleccionará la muestra y llamará a los usuarios para evaluar la satisfacción. (Calificación según tabla de equivalencia).
*Descuento del 0,5 % sobre el valor de la radicación de facturas del periodo evaluado.</t>
  </si>
  <si>
    <t>I.C.101</t>
  </si>
  <si>
    <t xml:space="preserve">RESPONSABLE </t>
  </si>
  <si>
    <t xml:space="preserve">Proveedor de interventoria asignado </t>
  </si>
  <si>
    <t>Autorizaciones anuladas por no disponibilidad del material</t>
  </si>
  <si>
    <t xml:space="preserve">El indicador busca monitorear los días que se demora el prestador de servicios o tecnologias de salud IPS o proveedor en facturar el servicio prestado. </t>
  </si>
  <si>
    <t>Promedio ( aritmético) de número de dias resultado (Fecha de radicación de la factura  menos (-) fecha de prestación del servicio u homologa)</t>
  </si>
  <si>
    <t xml:space="preserve">El indicador busca monitorear el número de devoluciones de facturas en radicación realizadas al proveedor. </t>
  </si>
  <si>
    <t>(Número total de facturas devueltas /( sobre) Número total de facturas radicadas en el periodo a evaluar) * (por) 100%</t>
  </si>
  <si>
    <t xml:space="preserve">El indicador busca monitorear los días que se demora el proveedor en responder a la glosa formulada por parte de la firma auditora. </t>
  </si>
  <si>
    <t>Promedio ( aritmético)  del número de dias (Fecha de respuesta por parte del proveedor  menos (-) menos  Fecha de notificación de glosa )</t>
  </si>
  <si>
    <t xml:space="preserve">El indicador busca monitorear las veces en que se realiza reunión de conciliación para validar con el proveedor  la calidad de las respuestas dadas a las glosas formuladas. </t>
  </si>
  <si>
    <t>Garantizar la oportunidad, calidad y eficiencia en la entrega de Medicamentos o dispositivos médicos que requieran los asegurados de Positiva Compañía de Seguros S.A teniendo en cuenta la cobertura dispuesta para tal fin.</t>
  </si>
  <si>
    <t>(Número de ítems  pendientes entregados  en 48 horas en el mes) *100
(Total de autorizaciones asignadas al proveedor para entrega en punto de dispensación con ítems 
pendientes en el mes)</t>
  </si>
  <si>
    <t xml:space="preserve">(Número de ítems de autorizaciones asignadas entregados máximo en 48 horas en el mes) *100
(Total de autorizaciones asignadas al proveedor para entrega a domicilio en el mes)
</t>
  </si>
  <si>
    <t xml:space="preserve">NA </t>
  </si>
  <si>
    <t xml:space="preserve">Procedentes a cargo del  proveedor en el mes) *100
(Total de autorizaciones asignadas al proveedor en el mes)
</t>
  </si>
  <si>
    <t xml:space="preserve">(Número de encuestados con calificación igual o mayor de 4 en el mes) * 100
(Total de encuestados seleccionados de la muestra en el mes)
</t>
  </si>
  <si>
    <t>Prestación De Los Servicios De Tecnologías De Salud Para Los Asegurados Y/O Afiliados A Positiva, Que Requieran De Suministro Y Distribución Del Material De Osteosíntesis En Los Diferentes Ramos De Positiva Compañía De Seguros S.A.</t>
  </si>
  <si>
    <t xml:space="preserve">Número de AUTORIZACIO NES ENTREGADAS COMPLETAS
según compromiso adquirido EN TIEMPO por el proveedor *100
Número total de AUTORIZACIO NES EMITIDAS POR LA COMPAÑÍA
</t>
  </si>
  <si>
    <t>Número de cargues completos en bitácora - Herramienta tecnológica de POSITIVA *
100 / Número total de autorizaciones emitidas</t>
  </si>
  <si>
    <t>Número de autorizaciones anuladas por no disponibilidad
*100
Número total de AUTORIZACIO NES EMITIDAS POR LA COMPAÑÍA</t>
  </si>
  <si>
    <t>1.Atención Integral de Eventos con Exposición a Riesgo Biológico en los ramos de ARL y Vida.
2. Atención Integral de Eventos con Exposición a Riesgo Biológico por Sars-CoV-2 (Covid-19) en los ramos de ARL.
3. Garantizar la atención completa de los eventos desde la asignación del caso y hasta el cierre del mismo.
4.Gestión administrativa del Siniestro incluye, la asesoría y seguimiento telefónico, gestión de resultados de laboratorios (para pacientes en caso sospechoso de VIH, SarsCov2), custodia, adherencia de los pacientes con servicio farmacéutico (pacientes con entrega de Terapia Antirretroviral en sospecha de infección VIH), consultas médicas, diligenciamiento del aplicativo Positiva cuida 2, cargue de historias clínicas, soportes de cierre de los casos gestionados (segun aplique: cierres por no contacto, no contagio y final como cierres de ciclo infecccioso);  hasta el cierre del caso con exposición al riesgo biológico como parte del proceso de atención integral del siniestro.
5.Resto de servicios del Portafolio con cumplimiento normativo de habilitación, de acuerdo a la oferta de servicios presentada por el CONTRATISTA ya que forma parte integrante del contrato. (Incluye la propuesta y especificaciones del servicio)</t>
  </si>
  <si>
    <t xml:space="preserve">Numerador: Número de casos contactados dentro de las 24 a 48 horas siguientes a la generación de la autorización paquete riesgo biologico evidenciado en el aplicativo cuida 2
Denominador: N° total de casos asignados al proveedor de riesgo biologico por el aplicativo Positiva Cuida 2 con generación paquete riesgo biologico
</t>
  </si>
  <si>
    <t>Numerador: Número de casos con entrega de profilaxis post exposición (PPE) dentro de las 72 horas posteriores a la asignación.
Denominador: Número  total de casos autorizados que requieran profilaxis post exposición (PPE) en el periodo evaluado.</t>
  </si>
  <si>
    <t>Numerador: Número de casos cerrados por No contacto/ No contagio que cumplen con los criterios de cierre.
Denominador: Número Total de casos no contactados en el periodo evaluado</t>
  </si>
  <si>
    <t>Numerador: Número  de PQRS procedentes radicadas a la ARL en el mes por gestión del proveedor de Riesgo biológico 
Denominador: Número total de casos asignados al  proveedor de Riesgo Biológico, por el aplicativo Positiva Cuida 2 en el mes.</t>
  </si>
  <si>
    <t>Número de requerimientos atendidos dentro de los tiempos establecidos
Número de requerimientos realizados por Positiva en el mes</t>
  </si>
  <si>
    <t>Número de PQR contestadas en los tiempos establecidos
Número de PQR escaladas al proveedor en el mes</t>
  </si>
  <si>
    <t xml:space="preserve">Número de solicitudes con gestión completa en bitácora
Número de solicitudes asignados en el mes
</t>
  </si>
  <si>
    <t xml:space="preserve">Número de PQRD favorables para el consumidor en el mes
El total de PQRD asignadas al proveedor en el mes
</t>
  </si>
  <si>
    <t xml:space="preserve">Promedio de calificación de los criterios de satisfacción del servicio por parte de los afiliados
</t>
  </si>
  <si>
    <t xml:space="preserve">Resultados </t>
  </si>
  <si>
    <t xml:space="preserve">Procedencia de trámites jurídicos </t>
  </si>
  <si>
    <t>I.C.102</t>
  </si>
  <si>
    <t>La procedencia de los tramites jurídicos responde a dos categorías:
A favor del consumidor - usuario : en este escenario se evidencia que la necesidad indicada por medio de la PQRD interpuesta por el afiliado,  no ha sido gestionada de manera oportuna  por parte del proveedor responsable, por tanto se debe tomar acciones efectivas para resolver dicha necesidad. 
No favorable para el consumidor - entidad: tras validación de la necesidad interpuesta por medio de la PQRD,  se identifica que la solicitud del afiliado ha sido gestionado de manera oportuna y con calidad, o no es posible la gestión debido al estado del evento, por tanto la necesidad interpuesta no responde a un error en el procedimiento por parte del proveedor.
PQRD: Peticiones, quejas, reclamos, sugerencias y denuncias
Tutela:  es un mecanismo judicial para proteger derechos fundamentales de manera inmediata. 
Entes de control: entidad o institución gubernamental que se encarga de supervisar, vigilar y garantizar que otras organizaciones, empresas, y entidades públicas o privadas cumplan con las leyes, regulaciones y normativas vigentes en un país o sector específico.</t>
  </si>
  <si>
    <t xml:space="preserve">(Número total de PQRD, tutelas y trámites por entes de control favorables para el consumidor asociadas al proveedor a medir en el mes/Número total de PQRD, tutelas y trámites por entes de control asociadas al proveedor a medir en el mes)*100
</t>
  </si>
  <si>
    <t>Número total de PQRD, tutelas y trámites por entes de control favorables para el consumidor asociadas al proveedor a medir en el mes</t>
  </si>
  <si>
    <t>Número total de PQRD, tutelas y trámites por entes de control asociadas al proveedor a medir en el mes)*100</t>
  </si>
  <si>
    <t>Base de PQRD y tutelas mensual del grupo GISAT</t>
  </si>
  <si>
    <t>menor o igual al 5 %</t>
  </si>
  <si>
    <t xml:space="preserve">1. Durante los 5 primeros días hábiles del mes el área encargada del manejo de los trámites jurídicos remite base consolidada al profesional designado por parte de la Gerencia médica para que sea remitido a la Interventoría.
2.La interventoría o supervisor aplicará formula asociada en el indicador, consolidará medición y realizará e análisis.
3.Los resultados del indicador serán socializados por parte la Interventoría al proveedor y se solicitará los planes de acción en caso de ser necesario.
Nota: el proveedor que no tenga data para el mes a medir la interventoría y/o supervisor deberá dejar nota indicando ello. </t>
  </si>
  <si>
    <t xml:space="preserve">De acuerdo a los establecido en el contrato en la clausula de interventor o supervisor </t>
  </si>
  <si>
    <t>Satisfacción del asegurado</t>
  </si>
  <si>
    <t>I.C.103</t>
  </si>
  <si>
    <t>Satisfacción: grado en que las expectativas y necesidades de los pacientes son cumplidas por los servicios de salud que reciben. 
Para validar este aspecto se deben tener en cuenta los siguientes criterios:
•Acceso a los servicios: Facilidad con la que los pacientes pueden obtener atención médica cuando la necesitan.
•Calidad del servicio: Percepción de los usuarios sobre la competencia técnica de los profesionales de la salud, la atención brindada y los resultados obtenidos.
•Trato recibido: La manera en que los pacientes son tratados por el personal médico y administrativo, incluyendo empatía, respeto y atención personalizada.
•Tiempo de espera: Tanto para acceder a citas médicas como para recibir tratamientos, las largas esperas pueden disminuir la satisfacción.
•Infraestructura y recursos: Calidad de las instalaciones y disponibilidad de equipos médicos y medicamentos.</t>
  </si>
  <si>
    <t>(Número de encuestados con calificación = &gt; a 4 en el mes a medir/Número total de encuestados seleccionados acorde al nivel de confianza del número de las autorizaciones autorizadas en el mes a medir)*100</t>
  </si>
  <si>
    <t>Número de encuestados con calificación = &gt; a 4 en el mes a medir</t>
  </si>
  <si>
    <t>Número total de encuestados seleccionados acorde al nivel de confianza del número de las autorizaciones autorizadas en el mes a medir)*100</t>
  </si>
  <si>
    <t xml:space="preserve">Para conocer el universo de autorizaciones, pacientes con tutelas , crónicos : reporte transacciones. </t>
  </si>
  <si>
    <t xml:space="preserve">1. El primer día hábil de cada semana se saca el reporte transaccional de los casos tramitados por el proveedor en la semana anterior,  que tengan relación al mes de revisión o auditoria. 
2.  Seleccionar  las autorizaciones aprobadas (para traslados las cerradas y gestionadas). 
3. Posterior a ello, se realizará encuestas de manera aleatoria y a la muestra designada por Positiva. 
4.La interventoría o supervisor aplicará formula asociada en el indicador, consolidará medición y realizará el análisis.
5.Los resultados del indicador serán socializados por parte la Interventoría al proveedor y se solicitará los planes de acción en caso de ser necesario.
Nota: el proveedor que no tenga servicios para encuestar en el mes será informado por la Interventoría/o supervisor y se deberá dejar nota indicando ello. </t>
  </si>
  <si>
    <t xml:space="preserve">De acuerdo a los establecido en el contrato en la cláusula de interventor o supervisor </t>
  </si>
  <si>
    <t>Resolución 2275 de 2023 - Resolución No 2284 de 2023- resolución 3047 de 2008</t>
  </si>
  <si>
    <t>Decreto 2200 de 2005 -  Resolución 1403 de 2007-Resolución 1604 de 2013- Decreto 3050 de 2005</t>
  </si>
  <si>
    <t>Resolución 1604 del 2013-Decreto 2200 de 2005 -  Resolución 1403 de 2007-Resolución 1604 de 2013- Decreto 3050 de 2005</t>
  </si>
  <si>
    <t>Constitución Política Artículos 2,6,23 y 209-Artículo 23 de la ley 1755</t>
  </si>
  <si>
    <t>Resolución 256 de 2016</t>
  </si>
  <si>
    <t xml:space="preserve"> Resolución 184 de 2024 - Decreto 4725 de 2005 - Resolución 4002 de 2007</t>
  </si>
  <si>
    <t>Numeral 34. Artículo 2.2.4.6.2. Decreto 1072 de 2015 - GTC 45  - Decreto 457 de 2020 - artículo 5 de la Resolución 666</t>
  </si>
  <si>
    <t>Resolución 2338 de 2013 - Resolución 2164 de 2024 - Numeral 34. Artículo 2.2.4.6.2. Decreto 1072 de 2015 - GTC 45  - Decreto 457 de 2020 - artículo 5 de la Resolución 666</t>
  </si>
  <si>
    <t>EAI01</t>
  </si>
  <si>
    <t>EMP02</t>
  </si>
  <si>
    <t>EMD03</t>
  </si>
  <si>
    <t>PP04</t>
  </si>
  <si>
    <t>SS05</t>
  </si>
  <si>
    <t>Oportunidad en la entrega de material de osteosíntesis</t>
  </si>
  <si>
    <t>OEM06</t>
  </si>
  <si>
    <t>AHT07</t>
  </si>
  <si>
    <t>CMO08</t>
  </si>
  <si>
    <t>AAM09</t>
  </si>
  <si>
    <t>OTA10</t>
  </si>
  <si>
    <t>CCC11</t>
  </si>
  <si>
    <t>OGR19</t>
  </si>
  <si>
    <t>OGR20</t>
  </si>
  <si>
    <t>PFC23</t>
  </si>
  <si>
    <t>Calidad</t>
  </si>
  <si>
    <t>Oportunidad en la atención de terapias</t>
  </si>
  <si>
    <t>Sumatoria de días transcurridos entre la fecha de solicitud de terapias
y la fecha para la cual es asignada (Pacientes encuestados) / Número
total de pacientes (encuestados) con autorización para terapia en el
periodo X 100</t>
  </si>
  <si>
    <t>Sumatoria de días transcurridos entre la fecha de solicitud de terapias
y la fecha para la cual es asignada (Pacientes encuestados)</t>
  </si>
  <si>
    <t>Número total de pacientes (encuestados) con autorización para terapia en el periodo X 100</t>
  </si>
  <si>
    <t>Aplicativo Cuida 2.0-archivo de transacciones-autorizaciones de terapia, encuestas a pacientes atendidos en terapia</t>
  </si>
  <si>
    <t>Tiempo</t>
  </si>
  <si>
    <t>2 días</t>
  </si>
  <si>
    <t>Trimestral</t>
  </si>
  <si>
    <t>Rehabilitación Y Atención Domiciliaria</t>
  </si>
  <si>
    <t>Oportunidad en el inicio y la asignación del ciclo completo de terapia
física</t>
  </si>
  <si>
    <t>Número de pacientes con inicio y asignación del ciclo de terapia física
máximo 24 horas posteriores a la orden de terapia (médico tratante -
cita inicial del proveedor RHB) / Número total de pacientes con orden
de terapia *100</t>
  </si>
  <si>
    <t xml:space="preserve">Número de pacientes con inicio y asignación del ciclo de terapia física
máximo 24 horas posteriores a la orden de terapia (médico tratante -
cita inicial del proveedor RHB) </t>
  </si>
  <si>
    <t>Número total de pacientes con orden de terapia *100</t>
  </si>
  <si>
    <t>Aplicativo Cuida 2.0, base de RHB, bitácoras, historia clínica, aplicativo del proveedor de RHB, base enviada por el proveedor de RHB
asignación de ciclos de terapia</t>
  </si>
  <si>
    <t>Oportunidad en la atención domiciliaria</t>
  </si>
  <si>
    <t>Sumatoria de días transcurridos entre la fecha de solicitud de visita al
domicilio para la atención autorizada y la fecha para la cual es asignada
(Pacientes encuestados) / Número total de pacientes (encuestados)
atendidos en el domicilio en el periodo X 100</t>
  </si>
  <si>
    <t>Sumatoria de días transcurridos entre la fecha de solicitud de visita al
domicilio para la atención autorizada y la fecha para la cual es asignada
(Pacientes encuestados)</t>
  </si>
  <si>
    <t>Número total de pacientes (encuestados)
atendidos en el domicilio en el periodo X 100</t>
  </si>
  <si>
    <t>Aplicativo Cuida 2.0-archivo de transacciones-autorizaciones consulta especializada, encuestas a pacientes atendidos por medicina
especializada</t>
  </si>
  <si>
    <t>3 días</t>
  </si>
  <si>
    <t>Satisfacción del cliente</t>
  </si>
  <si>
    <t>Número total de pacientes encuestados con satisfacción mayor o igual a 4 /Total de pacientes con encuesta de satisfacción*100</t>
  </si>
  <si>
    <t>Número total de pacientes encuestados con satisfacción mayor o igual a 4</t>
  </si>
  <si>
    <t>Total de pacientes con encuesta de satisfacción*100</t>
  </si>
  <si>
    <t>Base de datos de autorizaciones del aplicativo Cuida 2.0, encuestas a los usuarios</t>
  </si>
  <si>
    <t>Mensual</t>
  </si>
  <si>
    <t>Resultados en salud</t>
  </si>
  <si>
    <t xml:space="preserve">Efectividad en el cierre del caso por el proveedor </t>
  </si>
  <si>
    <t xml:space="preserve">Rehabilitación </t>
  </si>
  <si>
    <t>Número de pacientes con Certificado de rehabilitación, sin solicitud de servicios de rehabilitación posteriores al cierre en el aplicativo Cuida 2.0 / Número total de casos de pacientes cerrados en el periodo x 100</t>
  </si>
  <si>
    <t>Número de pacientes con Certificado de rehabilitación, sin solicitud de servicios de rehabilitación posteriores al cierre en el aplicativo Cuida 2.0</t>
  </si>
  <si>
    <t>Número total de casos de pacientes cerrados en el periodo x 100</t>
  </si>
  <si>
    <t>Aplicativo Cuida 2.0, Base de datos de RHB, bitácoras</t>
  </si>
  <si>
    <t>Eficacia en la gestión de reintegro exitoso</t>
  </si>
  <si>
    <t>Número de pacientes con Certificado de rehabilitación y gestión de reintegro efectivo validado posterior al cierre en el aplicativo Cuida 2.0 / Número total de casos de pacientes cerrados en el
periodo x 100</t>
  </si>
  <si>
    <t>Número de pacientes con Certificado de rehabilitación y gestión
de reintegro efectivo validado posterior al cierre en el aplicativo
Cuida 2.0</t>
  </si>
  <si>
    <t>Aplicativo Cuida 2.0, base de RHB, bitácoras, historia clínica.</t>
  </si>
  <si>
    <t>I.C.104</t>
  </si>
  <si>
    <t>I.C.105</t>
  </si>
  <si>
    <t>I.C.106</t>
  </si>
  <si>
    <t>I.C.107</t>
  </si>
  <si>
    <t>I.C.109</t>
  </si>
  <si>
    <t>I.C.108</t>
  </si>
  <si>
    <t>OAD24</t>
  </si>
  <si>
    <t>Resolución 3050 de 2022 - Ley 1562 de 2012</t>
  </si>
  <si>
    <t>Decreto 1507 de Agosto de 2012</t>
  </si>
  <si>
    <t>4 días calendario</t>
  </si>
  <si>
    <t>5 días calendario</t>
  </si>
  <si>
    <t xml:space="preserve">CÓDIGO Res. 256 de 2016 </t>
  </si>
  <si>
    <t>I.C.110</t>
  </si>
  <si>
    <t>I.C.111</t>
  </si>
  <si>
    <t>I.C.112</t>
  </si>
  <si>
    <t>I.C.113</t>
  </si>
  <si>
    <t>I.C.114</t>
  </si>
  <si>
    <t>I.C.115</t>
  </si>
  <si>
    <t>I.C.116</t>
  </si>
  <si>
    <t>I.C.117</t>
  </si>
  <si>
    <t>I.C.118</t>
  </si>
  <si>
    <t>I.C.119</t>
  </si>
  <si>
    <t>I.C.120</t>
  </si>
  <si>
    <t>I.C.121</t>
  </si>
  <si>
    <t>I.C.122</t>
  </si>
  <si>
    <t>I.C.123</t>
  </si>
  <si>
    <t>I.C.124</t>
  </si>
  <si>
    <t>I.C.125</t>
  </si>
  <si>
    <t>I.C.126</t>
  </si>
  <si>
    <t>I.C.127</t>
  </si>
  <si>
    <t>I.C.128</t>
  </si>
  <si>
    <t>I.C.129</t>
  </si>
  <si>
    <t>I.C.130</t>
  </si>
  <si>
    <t>I.C.131</t>
  </si>
  <si>
    <t>I.C.132</t>
  </si>
  <si>
    <t>I.C.133</t>
  </si>
  <si>
    <t>I.C.134</t>
  </si>
  <si>
    <t>I.C.135</t>
  </si>
  <si>
    <t>I.C.136</t>
  </si>
  <si>
    <t>I.C.137</t>
  </si>
  <si>
    <t>I.C.138</t>
  </si>
  <si>
    <t>I.C.139</t>
  </si>
  <si>
    <t>I.C.140</t>
  </si>
  <si>
    <t>I.C.141</t>
  </si>
  <si>
    <t>I.C.142</t>
  </si>
  <si>
    <t>I.C.143</t>
  </si>
  <si>
    <t>I.C.144</t>
  </si>
  <si>
    <t>I.C.145</t>
  </si>
  <si>
    <t>I.C.146</t>
  </si>
  <si>
    <t>I.C.147</t>
  </si>
  <si>
    <t>I.C.148</t>
  </si>
  <si>
    <t>I.C.149</t>
  </si>
  <si>
    <t>I.C.150</t>
  </si>
  <si>
    <t>I.C.151</t>
  </si>
  <si>
    <t>I.C.152</t>
  </si>
  <si>
    <t>744</t>
  </si>
  <si>
    <t>129</t>
  </si>
  <si>
    <t>131</t>
  </si>
  <si>
    <t>107</t>
  </si>
  <si>
    <t>110</t>
  </si>
  <si>
    <t>133</t>
  </si>
  <si>
    <t>134</t>
  </si>
  <si>
    <t>135</t>
  </si>
  <si>
    <t>132</t>
  </si>
  <si>
    <t>201</t>
  </si>
  <si>
    <t>202</t>
  </si>
  <si>
    <t>203</t>
  </si>
  <si>
    <t>205</t>
  </si>
  <si>
    <t>207</t>
  </si>
  <si>
    <t>208</t>
  </si>
  <si>
    <t>209</t>
  </si>
  <si>
    <t>210</t>
  </si>
  <si>
    <t>211</t>
  </si>
  <si>
    <t>213</t>
  </si>
  <si>
    <t>214</t>
  </si>
  <si>
    <t>215</t>
  </si>
  <si>
    <t>231</t>
  </si>
  <si>
    <t>233</t>
  </si>
  <si>
    <t>234</t>
  </si>
  <si>
    <t>245</t>
  </si>
  <si>
    <t>329</t>
  </si>
  <si>
    <t>412</t>
  </si>
  <si>
    <t>413</t>
  </si>
  <si>
    <t>414</t>
  </si>
  <si>
    <t>415</t>
  </si>
  <si>
    <t>416</t>
  </si>
  <si>
    <t>417</t>
  </si>
  <si>
    <t>422</t>
  </si>
  <si>
    <t>420</t>
  </si>
  <si>
    <t>712</t>
  </si>
  <si>
    <t>731</t>
  </si>
  <si>
    <t>418</t>
  </si>
  <si>
    <t>419</t>
  </si>
  <si>
    <t>728</t>
  </si>
  <si>
    <t>729</t>
  </si>
  <si>
    <t xml:space="preserve">Tiempo promedio de espera para la asignación de cita de Medicina General </t>
  </si>
  <si>
    <t xml:space="preserve">Tasa de Incidencia de Neumonía Asociada a Ventilador Mecánico </t>
  </si>
  <si>
    <t>Tasa de Incidencia de Neumonía Asociada a Ventilador Mecánico</t>
  </si>
  <si>
    <t>Tasa de caída de pacientes en el servicio de hospitalización</t>
  </si>
  <si>
    <t>Tasa de caída de pacientes en el servicio de consulta externa</t>
  </si>
  <si>
    <t>Tasa de caída de pacientes en el servicio de Apoyo Diagnóstico y Complementación Terapéutica</t>
  </si>
  <si>
    <t>Tasa de úlceras por presión</t>
  </si>
  <si>
    <t>Tasa de reingreso de pacientes hospitalizados en menos de 15 días</t>
  </si>
  <si>
    <t xml:space="preserve">Oportunidad en la asignación de cita de terapias </t>
  </si>
  <si>
    <t/>
  </si>
  <si>
    <t>Adherencia a la herramienta Tecnológica designada por la compañía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</si>
</sst>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b/>
      <i/>
      <sz val="10"/>
      <color rgb="FF000000"/>
      <name val="Arial"/>
      <family val="2"/>
    </font>
    <font>
      <sz val="7"/>
      <color rgb="FF000000"/>
      <name val="Times New Roman"/>
      <family val="1"/>
    </font>
    <font>
      <sz val="10"/>
      <color rgb="FF000000"/>
      <name val="Arial"/>
      <family val="2"/>
    </font>
    <font>
      <i/>
      <sz val="10"/>
      <color rgb="FF000000"/>
      <name val="Arial"/>
      <family val="2"/>
    </font>
    <font>
      <sz val="16"/>
      <color theme="1"/>
      <name val="Aptos Narrow"/>
      <family val="2"/>
      <scheme val="minor"/>
    </font>
    <font>
      <sz val="20"/>
      <color theme="0"/>
      <name val="Aptos Narrow"/>
      <family val="2"/>
      <scheme val="minor"/>
    </font>
    <font>
      <sz val="24"/>
      <color theme="0"/>
      <name val="Aptos Narrow"/>
      <family val="2"/>
      <scheme val="minor"/>
    </font>
    <font>
      <sz val="11"/>
      <name val="Arial Rounded MT Bold"/>
      <family val="2"/>
    </font>
    <font>
      <sz val="11"/>
      <name val="Arial Narrow"/>
      <family val="2"/>
    </font>
    <font>
      <sz val="11"/>
      <color theme="1"/>
      <name val="Arial Narrow"/>
      <family val="2"/>
    </font>
    <font>
      <sz val="9"/>
      <color rgb="FF222222"/>
      <name val="Verdana"/>
      <family val="2"/>
    </font>
    <font>
      <sz val="9"/>
      <name val="Verdana"/>
      <family val="2"/>
    </font>
    <font>
      <sz val="10"/>
      <color theme="1"/>
      <name val="Arial"/>
      <family val="2"/>
    </font>
    <font>
      <sz val="8"/>
      <name val="Aptos Narrow"/>
      <family val="2"/>
      <scheme val="minor"/>
    </font>
    <font>
      <sz val="11"/>
      <color rgb="FFFF0000"/>
      <name val="Aptos Narrow"/>
      <family val="2"/>
      <scheme val="minor"/>
    </font>
    <font>
      <b/>
      <i/>
      <sz val="10"/>
      <color rgb="FFFF0000"/>
      <name val="Arial"/>
      <family val="2"/>
    </font>
    <font>
      <sz val="10"/>
      <color rgb="FFFF0000"/>
      <name val="Arial"/>
      <family val="2"/>
    </font>
    <font>
      <i/>
      <sz val="10"/>
      <color rgb="FFFF0000"/>
      <name val="Arial"/>
      <family val="2"/>
    </font>
  </fonts>
  <fills count="5">
    <fill>
      <patternFill patternType="none"/>
    </fill>
    <fill>
      <patternFill patternType="gray125"/>
    </fill>
    <fill>
      <patternFill patternType="solid">
        <fgColor theme="5"/>
        <bgColor indexed="64"/>
      </patternFill>
    </fill>
    <fill>
      <patternFill patternType="solid">
        <fgColor rgb="FF99CCFF"/>
        <bgColor indexed="64"/>
      </patternFill>
    </fill>
    <fill>
      <patternFill patternType="solid">
        <fgColor rgb="FFFFFF00"/>
        <bgColor indexed="64"/>
      </patternFill>
    </fill>
  </fills>
  <borders count="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s>
  <cellStyleXfs count="2">
    <xf numFmtId="0" fontId="0" fillId="0" borderId="0"/>
    <xf numFmtId="0" fontId="13" fillId="0" borderId="0"/>
  </cellStyleXfs>
  <cellXfs count="57">
    <xf numFmtId="0" fontId="0" fillId="0" borderId="0" xfId="0"/>
    <xf numFmtId="0" fontId="0" fillId="0" borderId="0" xfId="0" applyAlignment="1">
      <alignment horizontal="center"/>
    </xf>
    <xf numFmtId="0" fontId="0" fillId="0" borderId="0" xfId="0" applyAlignment="1">
      <alignment vertical="center"/>
    </xf>
    <xf numFmtId="0" fontId="0" fillId="2" borderId="0" xfId="0" applyFill="1"/>
    <xf numFmtId="0" fontId="8" fillId="3" borderId="4" xfId="0" applyFont="1" applyFill="1" applyBorder="1" applyAlignment="1">
      <alignment horizontal="center" vertical="center" wrapText="1"/>
    </xf>
    <xf numFmtId="0" fontId="9" fillId="0" borderId="4" xfId="0" applyFont="1" applyBorder="1" applyAlignment="1">
      <alignment horizontal="left"/>
    </xf>
    <xf numFmtId="0" fontId="9" fillId="0" borderId="4" xfId="0" applyFont="1" applyBorder="1" applyAlignment="1">
      <alignment horizontal="left" vertical="center"/>
    </xf>
    <xf numFmtId="0" fontId="10" fillId="0" borderId="4" xfId="0" applyFont="1" applyBorder="1" applyAlignment="1">
      <alignment horizontal="left"/>
    </xf>
    <xf numFmtId="0" fontId="10" fillId="0" borderId="4" xfId="0" applyFont="1" applyBorder="1" applyAlignment="1">
      <alignment horizontal="left" wrapText="1"/>
    </xf>
    <xf numFmtId="14" fontId="9" fillId="0" borderId="4" xfId="0" applyNumberFormat="1" applyFont="1" applyBorder="1" applyAlignment="1">
      <alignment horizontal="left"/>
    </xf>
    <xf numFmtId="0" fontId="0" fillId="0" borderId="0" xfId="0" applyAlignment="1">
      <alignment horizontal="center" vertical="center"/>
    </xf>
    <xf numFmtId="0" fontId="9" fillId="2" borderId="4" xfId="0" applyFont="1" applyFill="1" applyBorder="1" applyAlignment="1">
      <alignment horizontal="left"/>
    </xf>
    <xf numFmtId="0" fontId="0" fillId="2" borderId="0" xfId="0" applyFill="1" applyAlignment="1">
      <alignment horizontal="center"/>
    </xf>
    <xf numFmtId="0" fontId="10" fillId="2" borderId="4" xfId="0" applyFont="1" applyFill="1" applyBorder="1" applyAlignment="1">
      <alignment horizontal="left"/>
    </xf>
    <xf numFmtId="0" fontId="9" fillId="2" borderId="4" xfId="0" applyFont="1" applyFill="1" applyBorder="1" applyAlignment="1">
      <alignment horizontal="left" vertical="center"/>
    </xf>
    <xf numFmtId="14" fontId="9" fillId="2" borderId="4" xfId="0" applyNumberFormat="1" applyFont="1" applyFill="1" applyBorder="1" applyAlignment="1">
      <alignment horizontal="left"/>
    </xf>
    <xf numFmtId="0" fontId="10" fillId="2" borderId="4" xfId="0" applyFont="1" applyFill="1" applyBorder="1" applyAlignment="1">
      <alignment horizontal="left" wrapText="1"/>
    </xf>
    <xf numFmtId="0" fontId="0" fillId="2" borderId="0" xfId="0" applyFill="1" applyAlignment="1">
      <alignment horizontal="center" vertical="center"/>
    </xf>
    <xf numFmtId="0" fontId="6" fillId="2" borderId="0" xfId="0" applyFont="1" applyFill="1" applyAlignment="1">
      <alignment horizontal="center" vertical="center"/>
    </xf>
    <xf numFmtId="0" fontId="6" fillId="2" borderId="0" xfId="0" applyFont="1" applyFill="1" applyAlignment="1">
      <alignment horizontal="center" vertical="center" wrapText="1"/>
    </xf>
    <xf numFmtId="0" fontId="5" fillId="0" borderId="0" xfId="0" applyFont="1" applyAlignment="1">
      <alignment vertical="center"/>
    </xf>
    <xf numFmtId="0" fontId="0" fillId="0" borderId="0" xfId="0" applyAlignment="1">
      <alignment horizontal="left"/>
    </xf>
    <xf numFmtId="0" fontId="6" fillId="2" borderId="0" xfId="0" applyFont="1" applyFill="1" applyAlignment="1">
      <alignment horizontal="left"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0" fontId="1" fillId="0" borderId="4" xfId="0" applyFont="1" applyBorder="1" applyAlignment="1">
      <alignment horizontal="center" vertical="center"/>
    </xf>
    <xf numFmtId="0" fontId="3" fillId="0" borderId="4" xfId="0" applyFont="1" applyBorder="1" applyAlignment="1">
      <alignment vertical="center" wrapText="1"/>
    </xf>
    <xf numFmtId="0" fontId="0" fillId="0" borderId="4" xfId="0" applyBorder="1" applyAlignment="1">
      <alignment horizontal="center" vertical="center"/>
    </xf>
    <xf numFmtId="0" fontId="3" fillId="0" borderId="4" xfId="0" applyFont="1" applyBorder="1" applyAlignment="1">
      <alignment horizontal="center" vertical="center" wrapText="1"/>
    </xf>
    <xf numFmtId="0" fontId="4" fillId="0" borderId="4" xfId="0" applyFont="1" applyBorder="1" applyAlignment="1">
      <alignment vertical="center" wrapText="1"/>
    </xf>
    <xf numFmtId="0" fontId="4" fillId="0" borderId="4" xfId="0" applyFont="1" applyBorder="1" applyAlignment="1">
      <alignment horizontal="left"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0" fillId="0" borderId="4" xfId="0" applyBorder="1" applyAlignment="1">
      <alignment horizontal="center" vertical="center" wrapText="1"/>
    </xf>
    <xf numFmtId="9" fontId="4" fillId="0" borderId="4" xfId="0" applyNumberFormat="1" applyFont="1" applyBorder="1" applyAlignment="1">
      <alignment horizontal="center" vertical="center"/>
    </xf>
    <xf numFmtId="9" fontId="0" fillId="0" borderId="4" xfId="0" applyNumberFormat="1" applyBorder="1" applyAlignment="1">
      <alignment horizontal="center" vertical="center"/>
    </xf>
    <xf numFmtId="9" fontId="4" fillId="0" borderId="4" xfId="0" applyNumberFormat="1" applyFont="1" applyBorder="1" applyAlignment="1">
      <alignment horizontal="left" vertical="center" wrapText="1"/>
    </xf>
    <xf numFmtId="9" fontId="4" fillId="0" borderId="4" xfId="0" applyNumberFormat="1" applyFont="1" applyBorder="1" applyAlignment="1">
      <alignment horizontal="center" vertical="center" wrapText="1"/>
    </xf>
    <xf numFmtId="0" fontId="4" fillId="4" borderId="4" xfId="0" applyFont="1" applyFill="1" applyBorder="1" applyAlignment="1">
      <alignment vertical="center" wrapText="1"/>
    </xf>
    <xf numFmtId="0" fontId="4" fillId="4" borderId="4" xfId="0" applyFont="1" applyFill="1" applyBorder="1" applyAlignment="1">
      <alignment horizontal="left" vertical="center" wrapText="1"/>
    </xf>
    <xf numFmtId="0" fontId="16" fillId="0" borderId="4" xfId="0" applyFont="1" applyBorder="1" applyAlignment="1">
      <alignment horizontal="center" vertical="center"/>
    </xf>
    <xf numFmtId="0" fontId="17" fillId="0" borderId="4" xfId="0" applyFont="1" applyBorder="1" applyAlignment="1">
      <alignment vertical="center" wrapText="1"/>
    </xf>
    <xf numFmtId="0" fontId="15" fillId="0" borderId="4" xfId="0" applyFont="1" applyBorder="1" applyAlignment="1">
      <alignment horizontal="center" vertical="center"/>
    </xf>
    <xf numFmtId="0" fontId="17" fillId="0" borderId="4"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4" xfId="0" applyFont="1" applyBorder="1" applyAlignment="1">
      <alignment vertical="center" wrapText="1"/>
    </xf>
    <xf numFmtId="0" fontId="18" fillId="0" borderId="4" xfId="0" applyFont="1" applyBorder="1" applyAlignment="1">
      <alignment horizontal="left" vertical="center" wrapText="1"/>
    </xf>
    <xf numFmtId="9" fontId="18" fillId="0" borderId="4" xfId="0" applyNumberFormat="1" applyFont="1" applyBorder="1" applyAlignment="1">
      <alignment horizontal="center" vertical="center" wrapText="1"/>
    </xf>
    <xf numFmtId="0" fontId="18" fillId="4" borderId="4" xfId="0" applyFont="1" applyFill="1" applyBorder="1" applyAlignment="1">
      <alignment horizontal="left" vertical="center" wrapText="1"/>
    </xf>
    <xf numFmtId="49" fontId="0" fillId="0" borderId="4" xfId="0" applyNumberFormat="1" applyBorder="1" applyAlignment="1">
      <alignment horizontal="center" vertical="center" wrapText="1"/>
    </xf>
    <xf numFmtId="49" fontId="15" fillId="0" borderId="4" xfId="0" applyNumberFormat="1" applyFont="1" applyBorder="1" applyAlignment="1">
      <alignment horizontal="center" vertical="center" wrapText="1"/>
    </xf>
    <xf numFmtId="49" fontId="0" fillId="0" borderId="4" xfId="0" applyNumberFormat="1" applyBorder="1" applyAlignment="1">
      <alignment horizontal="center" vertical="center"/>
    </xf>
    <xf numFmtId="0" fontId="0" fillId="2" borderId="0" xfId="0" applyFill="1" applyAlignment="1">
      <alignment horizontal="center"/>
    </xf>
    <xf numFmtId="0" fontId="6" fillId="2" borderId="1" xfId="0" applyFont="1" applyFill="1" applyBorder="1" applyAlignment="1">
      <alignment horizontal="center"/>
    </xf>
    <xf numFmtId="0" fontId="6" fillId="2" borderId="2" xfId="0" applyFont="1" applyFill="1" applyBorder="1" applyAlignment="1">
      <alignment horizontal="center"/>
    </xf>
    <xf numFmtId="0" fontId="6" fillId="2" borderId="3" xfId="0" applyFont="1" applyFill="1" applyBorder="1" applyAlignment="1">
      <alignment horizontal="center"/>
    </xf>
    <xf numFmtId="0" fontId="7" fillId="2" borderId="0" xfId="0" applyFont="1" applyFill="1" applyAlignment="1">
      <alignment horizontal="center"/>
    </xf>
  </cellXfs>
  <cellStyles count="2">
    <cellStyle name="Normal" xfId="0" builtinId="0"/>
    <cellStyle name="Normal 2" xfId="1" xr:uid="{246165A9-7BDC-4C1D-AE69-427E09AC6F92}"/>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Proyectos\Resoluciones%20CUPS\2024\CUPS-REPS%202025.xlsx" TargetMode="External"/><Relationship Id="rId1" Type="http://schemas.openxmlformats.org/officeDocument/2006/relationships/externalLinkPath" Target="/Proyectos/Resoluciones%20CUPS/2024/CUPS-REPS%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PS REPS"/>
      <sheetName val="Servicios"/>
      <sheetName val="finalidades"/>
      <sheetName val="Resolución 2641"/>
    </sheetNames>
    <sheetDataSet>
      <sheetData sheetId="0"/>
      <sheetData sheetId="1">
        <row r="6">
          <cell r="B6" t="str">
            <v>codigo_servicio</v>
          </cell>
          <cell r="C6" t="str">
            <v>nombre_servicio</v>
          </cell>
        </row>
        <row r="7">
          <cell r="B7" t="str">
            <v>105</v>
          </cell>
          <cell r="C7" t="str">
            <v>CUIDADO INTERMEDIO NEONATAL</v>
          </cell>
        </row>
        <row r="8">
          <cell r="B8" t="str">
            <v>106</v>
          </cell>
          <cell r="C8" t="str">
            <v>CUIDADO INTERMEDIO PEDIÁTRICO</v>
          </cell>
        </row>
        <row r="9">
          <cell r="B9" t="str">
            <v>107</v>
          </cell>
          <cell r="C9" t="str">
            <v>CUIDADO INTERMEDIO ADULTOS</v>
          </cell>
        </row>
        <row r="10">
          <cell r="B10" t="str">
            <v>108</v>
          </cell>
          <cell r="C10" t="str">
            <v>CUIDADO INTENSIVO NEONATAL</v>
          </cell>
        </row>
        <row r="11">
          <cell r="B11" t="str">
            <v>109</v>
          </cell>
          <cell r="C11" t="str">
            <v>CUIDADO INTENSIVO PEDIÁTRICO</v>
          </cell>
        </row>
        <row r="12">
          <cell r="B12" t="str">
            <v>110</v>
          </cell>
          <cell r="C12" t="str">
            <v>CUIDADO INTENSIVO ADULTOS</v>
          </cell>
        </row>
        <row r="13">
          <cell r="B13" t="str">
            <v>120</v>
          </cell>
          <cell r="C13" t="str">
            <v>CUIDADO BÁSICO NEONATAL</v>
          </cell>
        </row>
        <row r="14">
          <cell r="B14" t="str">
            <v>129</v>
          </cell>
          <cell r="C14" t="str">
            <v>HOSPITALIZACIÓN ADULTOS</v>
          </cell>
        </row>
        <row r="15">
          <cell r="B15" t="str">
            <v>130</v>
          </cell>
          <cell r="C15" t="str">
            <v>HOSPITALIZACIÓN PEDIÁTRICA</v>
          </cell>
        </row>
        <row r="16">
          <cell r="B16" t="str">
            <v>131</v>
          </cell>
          <cell r="C16" t="str">
            <v>HOSPITALIZACIÓN EN SALUD MENTAL</v>
          </cell>
        </row>
        <row r="17">
          <cell r="B17" t="str">
            <v>132</v>
          </cell>
          <cell r="C17" t="str">
            <v>HOSPITALIZACIÓN PARCIAL</v>
          </cell>
        </row>
        <row r="18">
          <cell r="B18" t="str">
            <v>133</v>
          </cell>
          <cell r="C18" t="str">
            <v>HOSPITALIZACIÓN PACIENTE CRÓNICO CON VENTILADOR</v>
          </cell>
        </row>
        <row r="19">
          <cell r="B19" t="str">
            <v>134</v>
          </cell>
          <cell r="C19" t="str">
            <v>HOSPITALIZACIÓN PACIENTE CRÓNICO SIN VENTILADOR</v>
          </cell>
        </row>
        <row r="20">
          <cell r="B20" t="str">
            <v>135</v>
          </cell>
          <cell r="C20" t="str">
            <v>HOSPITALIZACIÓN EN  CONSUMO DE SUSTANCIAS PSICOACTIVAS</v>
          </cell>
        </row>
        <row r="21">
          <cell r="B21" t="str">
            <v>138</v>
          </cell>
          <cell r="C21" t="str">
            <v>CUIDADO BÁSICO DEL CONSUMO DE SUSTANCIAS PSICOACTIVAS</v>
          </cell>
        </row>
        <row r="22">
          <cell r="B22" t="str">
            <v>201</v>
          </cell>
          <cell r="C22" t="str">
            <v>CIRUGÍA DE CABEZA Y CUELLO</v>
          </cell>
        </row>
        <row r="23">
          <cell r="B23" t="str">
            <v>202</v>
          </cell>
          <cell r="C23" t="str">
            <v xml:space="preserve">CIRUGÍA CARDIOVASCULAR </v>
          </cell>
        </row>
        <row r="24">
          <cell r="B24" t="str">
            <v>203</v>
          </cell>
          <cell r="C24" t="str">
            <v>CIRUGÍA GENERAL</v>
          </cell>
        </row>
        <row r="25">
          <cell r="B25" t="str">
            <v>204</v>
          </cell>
          <cell r="C25" t="str">
            <v>CIRUGÍA GINECOLÓGICA</v>
          </cell>
        </row>
        <row r="26">
          <cell r="B26" t="str">
            <v>205</v>
          </cell>
          <cell r="C26" t="str">
            <v>CIRUGÍA MAXILOFACIAL</v>
          </cell>
        </row>
        <row r="27">
          <cell r="B27" t="str">
            <v>207</v>
          </cell>
          <cell r="C27" t="str">
            <v>CIRUGÍA ORTOPÉDICA</v>
          </cell>
        </row>
        <row r="28">
          <cell r="B28" t="str">
            <v>208</v>
          </cell>
          <cell r="C28" t="str">
            <v>CIRUGÍA OFTALMOLÓGICA</v>
          </cell>
        </row>
        <row r="29">
          <cell r="B29" t="str">
            <v>209</v>
          </cell>
          <cell r="C29" t="str">
            <v>CIRUGÍA OTORRINOLARINGOLOGÍA</v>
          </cell>
        </row>
        <row r="30">
          <cell r="B30" t="str">
            <v>210</v>
          </cell>
          <cell r="C30" t="str">
            <v>CIRUGÍA ONCOLÓGICA</v>
          </cell>
        </row>
        <row r="31">
          <cell r="B31" t="str">
            <v>211</v>
          </cell>
          <cell r="C31" t="str">
            <v>CIRUGÍA ORAL</v>
          </cell>
        </row>
        <row r="32">
          <cell r="B32" t="str">
            <v>212</v>
          </cell>
          <cell r="C32" t="str">
            <v>CIRUGÍA PEDIÁTRICA</v>
          </cell>
        </row>
        <row r="33">
          <cell r="B33" t="str">
            <v>213</v>
          </cell>
          <cell r="C33" t="str">
            <v>CIRUGÍA PLÁSTICA Y ESTÉTICA</v>
          </cell>
        </row>
        <row r="34">
          <cell r="B34" t="str">
            <v>214</v>
          </cell>
          <cell r="C34" t="str">
            <v>CIRUGÍA VASCULAR Y ANGIOLÓGICA</v>
          </cell>
        </row>
        <row r="35">
          <cell r="B35" t="str">
            <v>215</v>
          </cell>
          <cell r="C35" t="str">
            <v>CIRUGÍA UROLÓGICA</v>
          </cell>
        </row>
        <row r="36">
          <cell r="B36" t="str">
            <v>217</v>
          </cell>
          <cell r="C36" t="str">
            <v>OTRAS CIRUGÍAS</v>
          </cell>
        </row>
        <row r="37">
          <cell r="B37" t="str">
            <v>218</v>
          </cell>
          <cell r="C37" t="str">
            <v>CIRUGÍA ENDOVASCULAR NEUROLÓGICA</v>
          </cell>
        </row>
        <row r="38">
          <cell r="B38" t="str">
            <v>227</v>
          </cell>
          <cell r="C38" t="str">
            <v>CIRUGÍA ONCOLÓGICA PEDIÁTRICA</v>
          </cell>
        </row>
        <row r="39">
          <cell r="B39" t="str">
            <v>231</v>
          </cell>
          <cell r="C39" t="str">
            <v>CIRUGÍA DE LA MANO</v>
          </cell>
        </row>
        <row r="40">
          <cell r="B40" t="str">
            <v>232</v>
          </cell>
          <cell r="C40" t="str">
            <v>CIRUGÍA DE MAMA Y TUMORES TEJIDOS BLANDOS</v>
          </cell>
        </row>
        <row r="41">
          <cell r="B41" t="str">
            <v>233</v>
          </cell>
          <cell r="C41" t="str">
            <v>CIRUGÍA DERMATOLÓGICA</v>
          </cell>
        </row>
        <row r="42">
          <cell r="B42" t="str">
            <v>234</v>
          </cell>
          <cell r="C42" t="str">
            <v>CIRUGÍA DE TÓRAX</v>
          </cell>
        </row>
        <row r="43">
          <cell r="B43" t="str">
            <v>235</v>
          </cell>
          <cell r="C43" t="str">
            <v>CIRUGÍA GASTROINTESTINAL</v>
          </cell>
        </row>
        <row r="44">
          <cell r="B44" t="str">
            <v>237</v>
          </cell>
          <cell r="C44" t="str">
            <v>CIRUGÍA PLÁSTICA ONCOLÓGICA</v>
          </cell>
        </row>
        <row r="45">
          <cell r="B45" t="str">
            <v>245</v>
          </cell>
          <cell r="C45" t="str">
            <v>NEUROCIRUGÍA</v>
          </cell>
        </row>
        <row r="46">
          <cell r="B46" t="str">
            <v>301</v>
          </cell>
          <cell r="C46" t="str">
            <v>ANESTESIA</v>
          </cell>
        </row>
        <row r="47">
          <cell r="B47" t="str">
            <v>302</v>
          </cell>
          <cell r="C47" t="str">
            <v>CARDIOLOGÍA</v>
          </cell>
        </row>
        <row r="48">
          <cell r="B48" t="str">
            <v>303</v>
          </cell>
          <cell r="C48" t="str">
            <v xml:space="preserve">CIRUGÍA CARDIOVASCULAR </v>
          </cell>
        </row>
        <row r="49">
          <cell r="B49" t="str">
            <v>304</v>
          </cell>
          <cell r="C49" t="str">
            <v>CIRUGÍA GENERAL</v>
          </cell>
        </row>
        <row r="50">
          <cell r="B50" t="str">
            <v>306</v>
          </cell>
          <cell r="C50" t="str">
            <v>CIRUGÍA PEDIÁTRICA</v>
          </cell>
        </row>
        <row r="51">
          <cell r="B51" t="str">
            <v>308</v>
          </cell>
          <cell r="C51" t="str">
            <v>DERMATOLOGÍA</v>
          </cell>
        </row>
        <row r="52">
          <cell r="B52" t="str">
            <v>309</v>
          </cell>
          <cell r="C52" t="str">
            <v>DOLOR Y CUIDADOS PALIATIVOS</v>
          </cell>
        </row>
        <row r="53">
          <cell r="B53" t="str">
            <v>310</v>
          </cell>
          <cell r="C53" t="str">
            <v>ENDOCRINOLOGÍA</v>
          </cell>
        </row>
        <row r="54">
          <cell r="B54" t="str">
            <v>311</v>
          </cell>
          <cell r="C54" t="str">
            <v>ENDODONCIA</v>
          </cell>
        </row>
        <row r="55">
          <cell r="B55" t="str">
            <v>312</v>
          </cell>
          <cell r="C55" t="str">
            <v>ENFERMERÍA</v>
          </cell>
        </row>
        <row r="56">
          <cell r="B56" t="str">
            <v>313</v>
          </cell>
          <cell r="C56" t="str">
            <v>ESTOMATOLOGÍA</v>
          </cell>
        </row>
        <row r="57">
          <cell r="B57" t="str">
            <v>316</v>
          </cell>
          <cell r="C57" t="str">
            <v xml:space="preserve">GASTROENTEROLOGÍA </v>
          </cell>
        </row>
        <row r="58">
          <cell r="B58" t="str">
            <v>317</v>
          </cell>
          <cell r="C58" t="str">
            <v>GENÉTICA</v>
          </cell>
        </row>
        <row r="59">
          <cell r="B59" t="str">
            <v>318</v>
          </cell>
          <cell r="C59" t="str">
            <v>GERIATRÍA</v>
          </cell>
        </row>
        <row r="60">
          <cell r="B60" t="str">
            <v>320</v>
          </cell>
          <cell r="C60" t="str">
            <v>GINECOBSTETRICIA</v>
          </cell>
        </row>
        <row r="61">
          <cell r="B61" t="str">
            <v>321</v>
          </cell>
          <cell r="C61" t="str">
            <v>HEMATOLOGÍA</v>
          </cell>
        </row>
        <row r="62">
          <cell r="B62" t="str">
            <v>323</v>
          </cell>
          <cell r="C62" t="str">
            <v>INFECTOLOGÍA</v>
          </cell>
        </row>
        <row r="63">
          <cell r="B63" t="str">
            <v>324</v>
          </cell>
          <cell r="C63" t="str">
            <v>INMUNOLOGÍA</v>
          </cell>
        </row>
        <row r="64">
          <cell r="B64" t="str">
            <v>325</v>
          </cell>
          <cell r="C64" t="str">
            <v>MEDICINA FAMILIAR</v>
          </cell>
        </row>
        <row r="65">
          <cell r="B65" t="str">
            <v>326</v>
          </cell>
          <cell r="C65" t="str">
            <v>MEDICINA FÍSICA Y DEL DEPORTE</v>
          </cell>
        </row>
        <row r="66">
          <cell r="B66" t="str">
            <v>327</v>
          </cell>
          <cell r="C66" t="str">
            <v>MEDICINA FÍSICA Y REHABILITACIÓN</v>
          </cell>
        </row>
        <row r="67">
          <cell r="B67" t="str">
            <v>328</v>
          </cell>
          <cell r="C67" t="str">
            <v>MEDICINA GENERAL</v>
          </cell>
        </row>
        <row r="68">
          <cell r="B68" t="str">
            <v>329</v>
          </cell>
          <cell r="C68" t="str">
            <v>MEDICINA INTERNA</v>
          </cell>
        </row>
        <row r="69">
          <cell r="B69" t="str">
            <v>330</v>
          </cell>
          <cell r="C69" t="str">
            <v>NEFROLOGÍA</v>
          </cell>
        </row>
        <row r="70">
          <cell r="B70" t="str">
            <v>331</v>
          </cell>
          <cell r="C70" t="str">
            <v>NEUMOLOGÍA</v>
          </cell>
        </row>
        <row r="71">
          <cell r="B71" t="str">
            <v>332</v>
          </cell>
          <cell r="C71" t="str">
            <v>NEUROLOGÍA</v>
          </cell>
        </row>
        <row r="72">
          <cell r="B72" t="str">
            <v>333</v>
          </cell>
          <cell r="C72" t="str">
            <v>NUTRICIÓN Y DIETÉTICA</v>
          </cell>
        </row>
        <row r="73">
          <cell r="B73" t="str">
            <v>334</v>
          </cell>
          <cell r="C73" t="str">
            <v>ODONTOLOGÍA GENERAL</v>
          </cell>
        </row>
        <row r="74">
          <cell r="B74" t="str">
            <v>335</v>
          </cell>
          <cell r="C74" t="str">
            <v>OFTALMOLOGÍA</v>
          </cell>
        </row>
        <row r="75">
          <cell r="B75" t="str">
            <v>336</v>
          </cell>
          <cell r="C75" t="str">
            <v>ONCOLOGÍA CLÍNICA</v>
          </cell>
        </row>
        <row r="76">
          <cell r="B76" t="str">
            <v>337</v>
          </cell>
          <cell r="C76" t="str">
            <v>OPTOMETRÍA</v>
          </cell>
        </row>
        <row r="77">
          <cell r="B77" t="str">
            <v>338</v>
          </cell>
          <cell r="C77" t="str">
            <v>ORTODONCIA</v>
          </cell>
        </row>
        <row r="78">
          <cell r="B78" t="str">
            <v>339</v>
          </cell>
          <cell r="C78" t="str">
            <v>ORTOPEDIA Y/O TRAUMATOLOGÍA</v>
          </cell>
        </row>
        <row r="79">
          <cell r="B79" t="str">
            <v>340</v>
          </cell>
          <cell r="C79" t="str">
            <v>OTORRINOLARINGOLOGÍA</v>
          </cell>
        </row>
        <row r="80">
          <cell r="B80" t="str">
            <v>342</v>
          </cell>
          <cell r="C80" t="str">
            <v>PEDIATRÍA</v>
          </cell>
        </row>
        <row r="81">
          <cell r="B81" t="str">
            <v>343</v>
          </cell>
          <cell r="C81" t="str">
            <v>PERIODONCIA</v>
          </cell>
        </row>
        <row r="82">
          <cell r="B82" t="str">
            <v>344</v>
          </cell>
          <cell r="C82" t="str">
            <v>PSICOLOGÍA</v>
          </cell>
        </row>
        <row r="83">
          <cell r="B83" t="str">
            <v>345</v>
          </cell>
          <cell r="C83" t="str">
            <v>PSIQUIATRÍA</v>
          </cell>
        </row>
        <row r="84">
          <cell r="B84" t="str">
            <v>346</v>
          </cell>
          <cell r="C84" t="str">
            <v>REHABILITACIÓN ONCOLÓGICA</v>
          </cell>
        </row>
        <row r="85">
          <cell r="B85" t="str">
            <v>347</v>
          </cell>
          <cell r="C85" t="str">
            <v>REHABILITACIÓN ORAL</v>
          </cell>
        </row>
        <row r="86">
          <cell r="B86" t="str">
            <v>348</v>
          </cell>
          <cell r="C86" t="str">
            <v>REUMATOLOGÍA</v>
          </cell>
        </row>
        <row r="87">
          <cell r="B87" t="str">
            <v>354</v>
          </cell>
          <cell r="C87" t="str">
            <v>TOXICOLOGÍA</v>
          </cell>
        </row>
        <row r="88">
          <cell r="B88" t="str">
            <v>355</v>
          </cell>
          <cell r="C88" t="str">
            <v>UROLOGÍA</v>
          </cell>
        </row>
        <row r="89">
          <cell r="B89" t="str">
            <v>356</v>
          </cell>
          <cell r="C89" t="str">
            <v>OTRAS CONSULTAS DE ESPECIALIDAD</v>
          </cell>
        </row>
        <row r="90">
          <cell r="B90" t="str">
            <v>361</v>
          </cell>
          <cell r="C90" t="str">
            <v>CARDIOLOGÍA PEDIÁTRICA</v>
          </cell>
        </row>
        <row r="91">
          <cell r="B91" t="str">
            <v>362</v>
          </cell>
          <cell r="C91" t="str">
            <v>CIRUGÍA DE CABEZA Y CUELLO</v>
          </cell>
        </row>
        <row r="92">
          <cell r="B92" t="str">
            <v>363</v>
          </cell>
          <cell r="C92" t="str">
            <v>CIRUGÍA DE MANO</v>
          </cell>
        </row>
        <row r="93">
          <cell r="B93" t="str">
            <v>364</v>
          </cell>
          <cell r="C93" t="str">
            <v>CIRUGÍA DE MAMA Y TUMORES TEJIDOS BLANDOS</v>
          </cell>
        </row>
        <row r="94">
          <cell r="B94" t="str">
            <v>365</v>
          </cell>
          <cell r="C94" t="str">
            <v>CIRUGÍA DERMATOLÓGICA</v>
          </cell>
        </row>
        <row r="95">
          <cell r="B95" t="str">
            <v>366</v>
          </cell>
          <cell r="C95" t="str">
            <v>CIRUGÍA DE TÓRAX</v>
          </cell>
        </row>
        <row r="96">
          <cell r="B96" t="str">
            <v>367</v>
          </cell>
          <cell r="C96" t="str">
            <v>CIRUGÍA GASTROINTESTINAL</v>
          </cell>
        </row>
        <row r="97">
          <cell r="B97" t="str">
            <v>368</v>
          </cell>
          <cell r="C97" t="str">
            <v>CIRUGÍA GINECOLÓGICA LAPAROSCÓPICA</v>
          </cell>
        </row>
        <row r="98">
          <cell r="B98" t="str">
            <v>369</v>
          </cell>
          <cell r="C98" t="str">
            <v>CIRUGÍA PLÁSTICA Y ESTÉTICA</v>
          </cell>
        </row>
        <row r="99">
          <cell r="B99" t="str">
            <v>370</v>
          </cell>
          <cell r="C99" t="str">
            <v>CIRUGÍA PLÁSTICA ONCOLÓGICA</v>
          </cell>
        </row>
        <row r="100">
          <cell r="B100" t="str">
            <v>371</v>
          </cell>
          <cell r="C100" t="str">
            <v>OTRAS CONSULTAS GENERALES</v>
          </cell>
        </row>
        <row r="101">
          <cell r="B101" t="str">
            <v>372</v>
          </cell>
          <cell r="C101" t="str">
            <v>CIRUGÍA VASCULAR</v>
          </cell>
        </row>
        <row r="102">
          <cell r="B102" t="str">
            <v>373</v>
          </cell>
          <cell r="C102" t="str">
            <v>CIRUGÍA ONCOLÓGICA</v>
          </cell>
        </row>
        <row r="103">
          <cell r="B103" t="str">
            <v>374</v>
          </cell>
          <cell r="C103" t="str">
            <v>CIRUGÍA ONCOLÓGICA PEDIÁTRICA</v>
          </cell>
        </row>
        <row r="104">
          <cell r="B104" t="str">
            <v>375</v>
          </cell>
          <cell r="C104" t="str">
            <v>DERMATOLOGÍA ONCOLÓGICA</v>
          </cell>
        </row>
        <row r="105">
          <cell r="B105" t="str">
            <v>377</v>
          </cell>
          <cell r="C105" t="str">
            <v>COLOPROCTOLOGÍA</v>
          </cell>
        </row>
        <row r="106">
          <cell r="B106" t="str">
            <v>379</v>
          </cell>
          <cell r="C106" t="str">
            <v>GINECOLOGÍA ONCOLÓGICA</v>
          </cell>
        </row>
        <row r="107">
          <cell r="B107" t="str">
            <v>383</v>
          </cell>
          <cell r="C107" t="str">
            <v>MEDICINA NUCLEAR</v>
          </cell>
        </row>
        <row r="108">
          <cell r="B108" t="str">
            <v>384</v>
          </cell>
          <cell r="C108" t="str">
            <v>NEFROLOGÍA PEDIÁTRICA</v>
          </cell>
        </row>
        <row r="109">
          <cell r="B109" t="str">
            <v>385</v>
          </cell>
          <cell r="C109" t="str">
            <v>NEONATOLOGÍA</v>
          </cell>
        </row>
        <row r="110">
          <cell r="B110" t="str">
            <v>386</v>
          </cell>
          <cell r="C110" t="str">
            <v>NEUMOLOGÍA PEDIÁTRICA</v>
          </cell>
        </row>
        <row r="111">
          <cell r="B111" t="str">
            <v>387</v>
          </cell>
          <cell r="C111" t="str">
            <v>NEUROCIRUGÍA</v>
          </cell>
        </row>
        <row r="112">
          <cell r="B112" t="str">
            <v>388</v>
          </cell>
          <cell r="C112" t="str">
            <v>NEUROPEDIATRÍA</v>
          </cell>
        </row>
        <row r="113">
          <cell r="B113" t="str">
            <v>390</v>
          </cell>
          <cell r="C113" t="str">
            <v>OFTALMOLOGÍA ONCOLÓGICA</v>
          </cell>
        </row>
        <row r="114">
          <cell r="B114" t="str">
            <v>391</v>
          </cell>
          <cell r="C114" t="str">
            <v>ONCOLOGÍA Y HEMATOLOGÍA PEDIÁTRICA</v>
          </cell>
        </row>
        <row r="115">
          <cell r="B115" t="str">
            <v>393</v>
          </cell>
          <cell r="C115" t="str">
            <v>ORTOPEDIA ONCOLÓGICA</v>
          </cell>
        </row>
        <row r="116">
          <cell r="B116" t="str">
            <v>395</v>
          </cell>
          <cell r="C116" t="str">
            <v>UROLOGÍA ONCOLÓGICA</v>
          </cell>
        </row>
        <row r="117">
          <cell r="B117" t="str">
            <v>396</v>
          </cell>
          <cell r="C117" t="str">
            <v>ODONTOPEDIATRÍA</v>
          </cell>
        </row>
        <row r="118">
          <cell r="B118" t="str">
            <v>397</v>
          </cell>
          <cell r="C118" t="str">
            <v>MEDICINA ESTÉTICA</v>
          </cell>
        </row>
        <row r="119">
          <cell r="B119" t="str">
            <v>406</v>
          </cell>
          <cell r="C119" t="str">
            <v>HEMATOLOGÍA ONCOLÓGICA</v>
          </cell>
        </row>
        <row r="120">
          <cell r="B120" t="str">
            <v>407</v>
          </cell>
          <cell r="C120" t="str">
            <v>MEDICINA DEL TRABAJO Y MEDICINA LABORAL</v>
          </cell>
        </row>
        <row r="121">
          <cell r="B121" t="str">
            <v>408</v>
          </cell>
          <cell r="C121" t="str">
            <v>RADIOTERAPIA</v>
          </cell>
        </row>
        <row r="122">
          <cell r="B122" t="str">
            <v>409</v>
          </cell>
          <cell r="C122" t="str">
            <v>ORTOPEDIA PEDIÁTRICA</v>
          </cell>
        </row>
        <row r="123">
          <cell r="B123" t="str">
            <v>410</v>
          </cell>
          <cell r="C123" t="str">
            <v>CIRUGÍA ORAL</v>
          </cell>
        </row>
        <row r="124">
          <cell r="B124" t="str">
            <v>411</v>
          </cell>
          <cell r="C124" t="str">
            <v>CIRUGÍA MAXILOFACIAL</v>
          </cell>
        </row>
        <row r="125">
          <cell r="B125" t="str">
            <v>412</v>
          </cell>
          <cell r="C125" t="str">
            <v>MEDICINA ALTERNATIVA Y COMPLEMENTARIA - HOMEOPÁTICA</v>
          </cell>
        </row>
        <row r="126">
          <cell r="B126" t="str">
            <v>413</v>
          </cell>
          <cell r="C126" t="str">
            <v>MEDICINA ALTERNATIVA Y COMPLEMENTARIA - AYURVÉDICA</v>
          </cell>
        </row>
        <row r="127">
          <cell r="B127" t="str">
            <v>414</v>
          </cell>
          <cell r="C127" t="str">
            <v>MEDICINA ALTERNATIVA Y COMPLEMENTARIA - TRADICIONAL CHINA</v>
          </cell>
        </row>
        <row r="128">
          <cell r="B128" t="str">
            <v>415</v>
          </cell>
          <cell r="C128" t="str">
            <v>MEDICINA ALTERNATIVA Y COMPLEMENTARIA - NATUROPÁTICA</v>
          </cell>
        </row>
        <row r="129">
          <cell r="B129" t="str">
            <v>416</v>
          </cell>
          <cell r="C129" t="str">
            <v>MEDICINA ALTERNATIVA Y COMPLEMENTARIA - NEURALTERAPÉUTICA</v>
          </cell>
        </row>
        <row r="130">
          <cell r="B130" t="str">
            <v>417</v>
          </cell>
          <cell r="C130" t="str">
            <v>TERAPIAS ALTERNATIVAS Y COMPLEMENTARIAS - BIOENERGÉTICA</v>
          </cell>
        </row>
        <row r="131">
          <cell r="B131" t="str">
            <v>418</v>
          </cell>
          <cell r="C131" t="str">
            <v>TERAPIAS ALTERNATIVAS Y COMPLEMENTARIAS - TERAPIA  CON FILTROS</v>
          </cell>
        </row>
        <row r="132">
          <cell r="B132" t="str">
            <v>419</v>
          </cell>
          <cell r="C132" t="str">
            <v>TERAPIAS ALTERNATIVAS Y COMPLEMENTARIAS - TERAPIAS  MANUALES</v>
          </cell>
        </row>
        <row r="133">
          <cell r="B133" t="str">
            <v>420</v>
          </cell>
          <cell r="C133" t="str">
            <v>VACUNACIÓN</v>
          </cell>
        </row>
        <row r="134">
          <cell r="B134" t="str">
            <v>421</v>
          </cell>
          <cell r="C134" t="str">
            <v>PATOLOGÍA</v>
          </cell>
        </row>
        <row r="135">
          <cell r="B135" t="str">
            <v>422</v>
          </cell>
          <cell r="C135" t="str">
            <v>MEDICINA ALTERNATIVA Y COMPLEMENTARIA - OSTEOPÁTICA</v>
          </cell>
        </row>
        <row r="136">
          <cell r="B136" t="str">
            <v>423</v>
          </cell>
          <cell r="C136" t="str">
            <v>SEGURIDAD Y SALUD EN EL TRABAJO</v>
          </cell>
        </row>
        <row r="137">
          <cell r="B137" t="str">
            <v>706</v>
          </cell>
          <cell r="C137" t="str">
            <v>LABORATORIO CLÍNICO</v>
          </cell>
        </row>
        <row r="138">
          <cell r="B138" t="str">
            <v>709</v>
          </cell>
          <cell r="C138" t="str">
            <v>QUIMIOTERAPIA</v>
          </cell>
        </row>
        <row r="139">
          <cell r="B139" t="str">
            <v>711</v>
          </cell>
          <cell r="C139" t="str">
            <v>RADIOTERAPIA</v>
          </cell>
        </row>
        <row r="140">
          <cell r="B140" t="str">
            <v>712</v>
          </cell>
          <cell r="C140" t="str">
            <v>TOMA DE MUESTRAS DE LABORATORIO CLÍNICO</v>
          </cell>
        </row>
        <row r="141">
          <cell r="B141" t="str">
            <v>714</v>
          </cell>
          <cell r="C141" t="str">
            <v>SERVICIO FARMACÉUTICO</v>
          </cell>
        </row>
        <row r="142">
          <cell r="B142" t="str">
            <v>715</v>
          </cell>
          <cell r="C142" t="str">
            <v>MEDICINA NUCLEAR</v>
          </cell>
        </row>
        <row r="143">
          <cell r="B143" t="str">
            <v>717</v>
          </cell>
          <cell r="C143" t="str">
            <v>LABORATORIO CITOLOGÍAS CERVICO-UTERINAS</v>
          </cell>
        </row>
        <row r="144">
          <cell r="B144" t="str">
            <v>728</v>
          </cell>
          <cell r="C144" t="str">
            <v>TERAPIA OCUPACIONAL</v>
          </cell>
        </row>
        <row r="145">
          <cell r="B145" t="str">
            <v>729</v>
          </cell>
          <cell r="C145" t="str">
            <v>TERAPIA RESPIRATORIA</v>
          </cell>
        </row>
        <row r="146">
          <cell r="B146" t="str">
            <v>731</v>
          </cell>
          <cell r="C146" t="str">
            <v>LABORATORIO DE HISTOTECNOLOGÍA</v>
          </cell>
        </row>
        <row r="147">
          <cell r="B147" t="str">
            <v>733</v>
          </cell>
          <cell r="C147" t="str">
            <v>HEMODIÁLISIS</v>
          </cell>
        </row>
        <row r="148">
          <cell r="B148" t="str">
            <v>734</v>
          </cell>
          <cell r="C148" t="str">
            <v>DIÁLISIS PERITONEAL</v>
          </cell>
        </row>
        <row r="149">
          <cell r="B149" t="str">
            <v>739</v>
          </cell>
          <cell r="C149" t="str">
            <v>FISIOTERAPIA</v>
          </cell>
        </row>
        <row r="150">
          <cell r="B150" t="str">
            <v>740</v>
          </cell>
          <cell r="C150" t="str">
            <v>FONOAUDIOLOGÍA Y/O TERAPIA DEL LENGUAJE</v>
          </cell>
        </row>
        <row r="151">
          <cell r="B151" t="str">
            <v>742</v>
          </cell>
          <cell r="C151" t="str">
            <v>DIAGNÓSTICO VASCULAR</v>
          </cell>
        </row>
        <row r="152">
          <cell r="B152" t="str">
            <v>743</v>
          </cell>
          <cell r="C152" t="str">
            <v>HEMODINAMIA E INTERVENCIONISMO</v>
          </cell>
        </row>
        <row r="153">
          <cell r="B153" t="str">
            <v>744</v>
          </cell>
          <cell r="C153" t="str">
            <v xml:space="preserve">IMÁGENES DIAGNOSTICAS- IONIZANTES </v>
          </cell>
        </row>
        <row r="154">
          <cell r="B154" t="str">
            <v>745</v>
          </cell>
          <cell r="C154" t="str">
            <v>IMÁGENES DIAGNOSTICAS - NO IONIZANTES</v>
          </cell>
        </row>
        <row r="155">
          <cell r="B155" t="str">
            <v>746</v>
          </cell>
          <cell r="C155" t="str">
            <v>GESTION PRE-TRANSFUSIONAL</v>
          </cell>
        </row>
        <row r="156">
          <cell r="B156" t="str">
            <v>747</v>
          </cell>
          <cell r="C156" t="str">
            <v>PATOLOGÍA</v>
          </cell>
        </row>
        <row r="157">
          <cell r="B157" t="str">
            <v>748</v>
          </cell>
          <cell r="C157" t="str">
            <v>RADIOLOGÍA ODONTOLÓGICA</v>
          </cell>
        </row>
        <row r="158">
          <cell r="B158" t="str">
            <v>749</v>
          </cell>
          <cell r="C158" t="str">
            <v>TOMA DE MUESTRAS DE CUELLO UTERINO Y GINECOLÓGICAS</v>
          </cell>
        </row>
        <row r="159">
          <cell r="B159" t="str">
            <v>1101</v>
          </cell>
          <cell r="C159" t="str">
            <v>ATENCIÓN DEL PARTO</v>
          </cell>
        </row>
        <row r="160">
          <cell r="B160" t="str">
            <v>1102</v>
          </cell>
          <cell r="C160" t="str">
            <v>URGENCIAS</v>
          </cell>
        </row>
        <row r="161">
          <cell r="B161" t="str">
            <v>1103</v>
          </cell>
          <cell r="C161" t="str">
            <v>TRANSPORTE ASISTENCIAL BASICO</v>
          </cell>
        </row>
        <row r="162">
          <cell r="B162" t="str">
            <v>1104</v>
          </cell>
          <cell r="C162" t="str">
            <v>TRANSPORTE ASISTENCIAL MEDICALIZADO</v>
          </cell>
        </row>
        <row r="163">
          <cell r="B163" t="str">
            <v>1105</v>
          </cell>
          <cell r="C163" t="str">
            <v>ATENCIÓN PREHOSPITALARIA</v>
          </cell>
        </row>
        <row r="167">
          <cell r="C167" t="str">
            <v>terapias alternativas y complementarias - terapias  manuales</v>
          </cell>
        </row>
        <row r="168">
          <cell r="C168" t="str">
            <v>terapias alternativas y complementarias - terapias  manuales</v>
          </cell>
        </row>
      </sheetData>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4F7A-670D-4134-831B-DFF6A08FA721}">
  <sheetPr filterMode="1"/>
  <dimension ref="A1:U155"/>
  <sheetViews>
    <sheetView tabSelected="1" topLeftCell="A3" zoomScale="70" zoomScaleNormal="70" workbookViewId="0">
      <selection activeCell="B3" sqref="B3"/>
    </sheetView>
  </sheetViews>
  <sheetFormatPr baseColWidth="10" defaultRowHeight="15" x14ac:dyDescent="0.25"/>
  <cols>
    <col min="1" max="1" width="31.7109375" style="1" customWidth="1"/>
    <col min="2" max="2" width="45.85546875" bestFit="1" customWidth="1"/>
    <col min="3" max="3" width="25.42578125" style="10" hidden="1" customWidth="1"/>
    <col min="4" max="4" width="28.85546875" style="10" hidden="1" customWidth="1"/>
    <col min="5" max="5" width="56.5703125" hidden="1" customWidth="1"/>
    <col min="6" max="6" width="80.85546875" hidden="1" customWidth="1"/>
    <col min="7" max="7" width="32.5703125" hidden="1" customWidth="1"/>
    <col min="8" max="8" width="40.7109375" hidden="1" customWidth="1"/>
    <col min="9" max="9" width="40.140625" hidden="1" customWidth="1"/>
    <col min="10" max="10" width="44.42578125" style="1" hidden="1" customWidth="1"/>
    <col min="11" max="12" width="31.42578125" style="1" hidden="1" customWidth="1"/>
    <col min="13" max="13" width="24.140625" style="1" hidden="1" customWidth="1"/>
    <col min="14" max="14" width="57.7109375" hidden="1" customWidth="1"/>
    <col min="15" max="15" width="47.5703125" style="21" hidden="1" customWidth="1"/>
    <col min="16" max="16" width="48" hidden="1" customWidth="1"/>
    <col min="17" max="17" width="56.42578125" hidden="1" customWidth="1"/>
    <col min="18" max="18" width="24.42578125" hidden="1" customWidth="1"/>
    <col min="19" max="19" width="29.140625" style="10" customWidth="1"/>
    <col min="20" max="20" width="76" bestFit="1" customWidth="1"/>
  </cols>
  <sheetData>
    <row r="1" spans="1:21" ht="32.25" thickBot="1" x14ac:dyDescent="0.55000000000000004">
      <c r="A1" s="56" t="s">
        <v>0</v>
      </c>
      <c r="B1" s="56"/>
      <c r="C1" s="56"/>
      <c r="D1" s="56"/>
      <c r="E1" s="56"/>
      <c r="F1" s="56"/>
      <c r="G1" s="56"/>
      <c r="H1" s="56"/>
      <c r="I1" s="56"/>
      <c r="J1" s="56"/>
      <c r="K1" s="56"/>
      <c r="L1" s="56"/>
      <c r="M1" s="56"/>
      <c r="N1" s="56"/>
      <c r="O1" s="56"/>
      <c r="P1" s="56"/>
      <c r="Q1" s="56"/>
      <c r="R1" s="56"/>
      <c r="S1" s="56"/>
    </row>
    <row r="2" spans="1:21" ht="27" thickBot="1" x14ac:dyDescent="0.45">
      <c r="A2" s="12"/>
      <c r="B2" s="3"/>
      <c r="C2" s="17"/>
      <c r="D2" s="17"/>
      <c r="E2" s="3"/>
      <c r="F2" s="3"/>
      <c r="G2" s="53" t="s">
        <v>9</v>
      </c>
      <c r="H2" s="54"/>
      <c r="I2" s="54"/>
      <c r="J2" s="54"/>
      <c r="K2" s="54"/>
      <c r="L2" s="54"/>
      <c r="M2" s="55"/>
      <c r="N2" s="52"/>
      <c r="O2" s="52"/>
      <c r="P2" s="12"/>
      <c r="Q2" s="12"/>
      <c r="R2" s="12"/>
      <c r="S2" s="17"/>
    </row>
    <row r="3" spans="1:21" s="20" customFormat="1" ht="52.5" x14ac:dyDescent="0.25">
      <c r="A3" s="18" t="s">
        <v>2</v>
      </c>
      <c r="B3" s="18" t="s">
        <v>1</v>
      </c>
      <c r="C3" s="19" t="s">
        <v>886</v>
      </c>
      <c r="D3" s="18" t="s">
        <v>505</v>
      </c>
      <c r="E3" s="18" t="s">
        <v>3</v>
      </c>
      <c r="F3" s="18" t="s">
        <v>4</v>
      </c>
      <c r="G3" s="23" t="s">
        <v>5</v>
      </c>
      <c r="H3" s="18" t="s">
        <v>6</v>
      </c>
      <c r="I3" s="18" t="s">
        <v>7</v>
      </c>
      <c r="J3" s="18" t="s">
        <v>8</v>
      </c>
      <c r="K3" s="18" t="s">
        <v>10</v>
      </c>
      <c r="L3" s="18" t="s">
        <v>576</v>
      </c>
      <c r="M3" s="24" t="s">
        <v>11</v>
      </c>
      <c r="N3" s="18" t="s">
        <v>12</v>
      </c>
      <c r="O3" s="22" t="s">
        <v>13</v>
      </c>
      <c r="P3" s="18" t="s">
        <v>581</v>
      </c>
      <c r="Q3" s="18" t="s">
        <v>612</v>
      </c>
      <c r="R3" s="18" t="s">
        <v>764</v>
      </c>
      <c r="S3" s="18" t="s">
        <v>504</v>
      </c>
    </row>
    <row r="4" spans="1:21" s="2" customFormat="1" ht="63.75" hidden="1" x14ac:dyDescent="0.25">
      <c r="A4" s="25" t="s">
        <v>66</v>
      </c>
      <c r="B4" s="26" t="s">
        <v>14</v>
      </c>
      <c r="C4" s="27" t="s">
        <v>429</v>
      </c>
      <c r="D4" s="28" t="s">
        <v>506</v>
      </c>
      <c r="E4" s="29" t="s">
        <v>15</v>
      </c>
      <c r="F4" s="29" t="s">
        <v>16</v>
      </c>
      <c r="G4" s="29" t="s">
        <v>37</v>
      </c>
      <c r="H4" s="29" t="s">
        <v>617</v>
      </c>
      <c r="I4" s="29" t="s">
        <v>17</v>
      </c>
      <c r="J4" s="30" t="s">
        <v>617</v>
      </c>
      <c r="K4" s="31" t="s">
        <v>18</v>
      </c>
      <c r="L4" s="31" t="s">
        <v>884</v>
      </c>
      <c r="M4" s="31" t="s">
        <v>19</v>
      </c>
      <c r="N4" s="30" t="s">
        <v>20</v>
      </c>
      <c r="O4" s="30" t="s">
        <v>21</v>
      </c>
      <c r="P4" s="30" t="s">
        <v>625</v>
      </c>
      <c r="Q4" s="32" t="s">
        <v>32</v>
      </c>
      <c r="R4" s="32" t="s">
        <v>765</v>
      </c>
      <c r="S4" s="51" t="s">
        <v>452</v>
      </c>
      <c r="T4" s="2" t="str">
        <f>VLOOKUP(S4,[1]Servicios!$B:$C,2,0)</f>
        <v>MEDICINA GENERAL</v>
      </c>
      <c r="U4" s="2" t="s">
        <v>970</v>
      </c>
    </row>
    <row r="5" spans="1:21" ht="51" hidden="1" x14ac:dyDescent="0.25">
      <c r="A5" s="25" t="s">
        <v>66</v>
      </c>
      <c r="B5" s="26" t="s">
        <v>22</v>
      </c>
      <c r="C5" s="27" t="s">
        <v>430</v>
      </c>
      <c r="D5" s="28" t="s">
        <v>507</v>
      </c>
      <c r="E5" s="29" t="s">
        <v>23</v>
      </c>
      <c r="F5" s="29" t="s">
        <v>24</v>
      </c>
      <c r="G5" s="29" t="s">
        <v>25</v>
      </c>
      <c r="H5" s="29" t="s">
        <v>617</v>
      </c>
      <c r="I5" s="29" t="s">
        <v>25</v>
      </c>
      <c r="J5" s="30" t="s">
        <v>617</v>
      </c>
      <c r="K5" s="31" t="s">
        <v>18</v>
      </c>
      <c r="L5" s="31" t="s">
        <v>885</v>
      </c>
      <c r="M5" s="31" t="s">
        <v>19</v>
      </c>
      <c r="N5" s="30" t="s">
        <v>20</v>
      </c>
      <c r="O5" s="30" t="s">
        <v>21</v>
      </c>
      <c r="P5" s="30" t="s">
        <v>625</v>
      </c>
      <c r="Q5" s="32" t="s">
        <v>32</v>
      </c>
      <c r="R5" s="32" t="s">
        <v>765</v>
      </c>
      <c r="S5" s="51" t="s">
        <v>453</v>
      </c>
      <c r="T5" s="2" t="str">
        <f>VLOOKUP(S5,[1]Servicios!$B:$C,2,0)</f>
        <v>ODONTOLOGÍA GENERAL</v>
      </c>
      <c r="U5" s="2" t="s">
        <v>147</v>
      </c>
    </row>
    <row r="6" spans="1:21" ht="63.75" hidden="1" x14ac:dyDescent="0.25">
      <c r="A6" s="25" t="s">
        <v>66</v>
      </c>
      <c r="B6" s="26" t="s">
        <v>26</v>
      </c>
      <c r="C6" s="27" t="s">
        <v>431</v>
      </c>
      <c r="D6" s="28" t="s">
        <v>508</v>
      </c>
      <c r="E6" s="29" t="s">
        <v>27</v>
      </c>
      <c r="F6" s="29" t="s">
        <v>28</v>
      </c>
      <c r="G6" s="29" t="s">
        <v>29</v>
      </c>
      <c r="H6" s="29" t="s">
        <v>617</v>
      </c>
      <c r="I6" s="29" t="s">
        <v>30</v>
      </c>
      <c r="J6" s="30" t="s">
        <v>617</v>
      </c>
      <c r="K6" s="31" t="s">
        <v>18</v>
      </c>
      <c r="L6" s="31" t="s">
        <v>586</v>
      </c>
      <c r="M6" s="31" t="s">
        <v>19</v>
      </c>
      <c r="N6" s="30" t="s">
        <v>31</v>
      </c>
      <c r="O6" s="30" t="s">
        <v>32</v>
      </c>
      <c r="P6" s="30" t="s">
        <v>625</v>
      </c>
      <c r="Q6" s="32" t="s">
        <v>32</v>
      </c>
      <c r="R6" s="32" t="s">
        <v>765</v>
      </c>
      <c r="S6" s="51" t="s">
        <v>454</v>
      </c>
      <c r="T6" s="2" t="str">
        <f>VLOOKUP(S6,[1]Servicios!$B:$C,2,0)</f>
        <v>IMÁGENES DIAGNOSTICAS - NO IONIZANTES</v>
      </c>
      <c r="U6" s="2" t="s">
        <v>161</v>
      </c>
    </row>
    <row r="7" spans="1:21" s="2" customFormat="1" ht="192.95" hidden="1" customHeight="1" x14ac:dyDescent="0.25">
      <c r="A7" s="25" t="s">
        <v>33</v>
      </c>
      <c r="B7" s="26" t="s">
        <v>34</v>
      </c>
      <c r="C7" s="33" t="s">
        <v>432</v>
      </c>
      <c r="D7" s="28" t="s">
        <v>509</v>
      </c>
      <c r="E7" s="29" t="s">
        <v>35</v>
      </c>
      <c r="F7" s="29" t="s">
        <v>36</v>
      </c>
      <c r="G7" s="29" t="s">
        <v>57</v>
      </c>
      <c r="H7" s="29" t="s">
        <v>617</v>
      </c>
      <c r="I7" s="29" t="s">
        <v>48</v>
      </c>
      <c r="J7" s="30" t="s">
        <v>617</v>
      </c>
      <c r="K7" s="31" t="s">
        <v>18</v>
      </c>
      <c r="L7" s="34">
        <v>0.01</v>
      </c>
      <c r="M7" s="31" t="s">
        <v>19</v>
      </c>
      <c r="N7" s="30" t="s">
        <v>38</v>
      </c>
      <c r="O7" s="30" t="s">
        <v>39</v>
      </c>
      <c r="P7" s="30" t="s">
        <v>625</v>
      </c>
      <c r="Q7" s="32" t="s">
        <v>32</v>
      </c>
      <c r="R7" s="32" t="s">
        <v>765</v>
      </c>
      <c r="S7" s="49" t="s">
        <v>931</v>
      </c>
      <c r="T7" s="2" t="str">
        <f>VLOOKUP(S7,[1]Servicios!$B:$C,2,0)</f>
        <v>HOSPITALIZACIÓN ADULTOS</v>
      </c>
      <c r="U7" s="2" t="s">
        <v>971</v>
      </c>
    </row>
    <row r="8" spans="1:21" s="2" customFormat="1" ht="192.95" hidden="1" customHeight="1" x14ac:dyDescent="0.25">
      <c r="A8" s="25" t="s">
        <v>33</v>
      </c>
      <c r="B8" s="26" t="s">
        <v>34</v>
      </c>
      <c r="C8" s="33" t="s">
        <v>432</v>
      </c>
      <c r="D8" s="28" t="s">
        <v>510</v>
      </c>
      <c r="E8" s="29" t="s">
        <v>35</v>
      </c>
      <c r="F8" s="29" t="s">
        <v>36</v>
      </c>
      <c r="G8" s="29" t="s">
        <v>57</v>
      </c>
      <c r="H8" s="29" t="s">
        <v>617</v>
      </c>
      <c r="I8" s="29" t="s">
        <v>48</v>
      </c>
      <c r="J8" s="30" t="s">
        <v>617</v>
      </c>
      <c r="K8" s="31" t="s">
        <v>18</v>
      </c>
      <c r="L8" s="34">
        <v>0.01</v>
      </c>
      <c r="M8" s="31" t="s">
        <v>19</v>
      </c>
      <c r="N8" s="30" t="s">
        <v>38</v>
      </c>
      <c r="O8" s="30" t="s">
        <v>39</v>
      </c>
      <c r="P8" s="30" t="s">
        <v>625</v>
      </c>
      <c r="Q8" s="32" t="s">
        <v>32</v>
      </c>
      <c r="R8" s="32" t="s">
        <v>765</v>
      </c>
      <c r="S8" s="49" t="s">
        <v>935</v>
      </c>
      <c r="T8" s="2" t="str">
        <f>VLOOKUP(S8,[1]Servicios!$B:$C,2,0)</f>
        <v>HOSPITALIZACIÓN PACIENTE CRÓNICO CON VENTILADOR</v>
      </c>
      <c r="U8" s="2" t="s">
        <v>972</v>
      </c>
    </row>
    <row r="9" spans="1:21" ht="184.5" hidden="1" customHeight="1" x14ac:dyDescent="0.25">
      <c r="A9" s="25" t="s">
        <v>33</v>
      </c>
      <c r="B9" s="26" t="s">
        <v>34</v>
      </c>
      <c r="C9" s="27" t="s">
        <v>433</v>
      </c>
      <c r="D9" s="28" t="s">
        <v>511</v>
      </c>
      <c r="E9" s="29" t="s">
        <v>35</v>
      </c>
      <c r="F9" s="29" t="s">
        <v>36</v>
      </c>
      <c r="G9" s="29" t="s">
        <v>58</v>
      </c>
      <c r="H9" s="29" t="s">
        <v>617</v>
      </c>
      <c r="I9" s="29" t="s">
        <v>49</v>
      </c>
      <c r="J9" s="30" t="s">
        <v>617</v>
      </c>
      <c r="K9" s="31" t="s">
        <v>18</v>
      </c>
      <c r="L9" s="34">
        <v>0.25</v>
      </c>
      <c r="M9" s="31" t="s">
        <v>19</v>
      </c>
      <c r="N9" s="30" t="s">
        <v>38</v>
      </c>
      <c r="O9" s="30" t="s">
        <v>40</v>
      </c>
      <c r="P9" s="30" t="s">
        <v>625</v>
      </c>
      <c r="Q9" s="32" t="s">
        <v>32</v>
      </c>
      <c r="R9" s="32" t="s">
        <v>765</v>
      </c>
      <c r="S9" s="49" t="s">
        <v>455</v>
      </c>
      <c r="T9" s="2" t="str">
        <f>VLOOKUP(S9,[1]Servicios!$B:$C,2,0)</f>
        <v>URGENCIAS</v>
      </c>
      <c r="U9" s="2" t="s">
        <v>172</v>
      </c>
    </row>
    <row r="10" spans="1:21" ht="184.5" hidden="1" customHeight="1" x14ac:dyDescent="0.25">
      <c r="A10" s="25" t="s">
        <v>33</v>
      </c>
      <c r="B10" s="26" t="s">
        <v>34</v>
      </c>
      <c r="C10" s="27" t="s">
        <v>433</v>
      </c>
      <c r="D10" s="28" t="s">
        <v>512</v>
      </c>
      <c r="E10" s="29" t="s">
        <v>35</v>
      </c>
      <c r="F10" s="29" t="s">
        <v>36</v>
      </c>
      <c r="G10" s="29" t="s">
        <v>58</v>
      </c>
      <c r="H10" s="29" t="s">
        <v>617</v>
      </c>
      <c r="I10" s="29" t="s">
        <v>49</v>
      </c>
      <c r="J10" s="30" t="s">
        <v>617</v>
      </c>
      <c r="K10" s="31" t="s">
        <v>18</v>
      </c>
      <c r="L10" s="34">
        <v>0.25</v>
      </c>
      <c r="M10" s="31" t="s">
        <v>19</v>
      </c>
      <c r="N10" s="30" t="s">
        <v>38</v>
      </c>
      <c r="O10" s="30" t="s">
        <v>40</v>
      </c>
      <c r="P10" s="30" t="s">
        <v>625</v>
      </c>
      <c r="Q10" s="32" t="s">
        <v>32</v>
      </c>
      <c r="R10" s="32" t="s">
        <v>765</v>
      </c>
      <c r="S10" s="49" t="s">
        <v>931</v>
      </c>
      <c r="T10" s="2" t="str">
        <f>VLOOKUP(S10,[1]Servicios!$B:$C,2,0)</f>
        <v>HOSPITALIZACIÓN ADULTOS</v>
      </c>
      <c r="U10" s="2" t="s">
        <v>971</v>
      </c>
    </row>
    <row r="11" spans="1:21" ht="182.1" hidden="1" customHeight="1" x14ac:dyDescent="0.25">
      <c r="A11" s="25" t="s">
        <v>33</v>
      </c>
      <c r="B11" s="26" t="s">
        <v>34</v>
      </c>
      <c r="C11" s="27" t="s">
        <v>434</v>
      </c>
      <c r="D11" s="28" t="s">
        <v>513</v>
      </c>
      <c r="E11" s="29" t="s">
        <v>35</v>
      </c>
      <c r="F11" s="29" t="s">
        <v>36</v>
      </c>
      <c r="G11" s="29" t="s">
        <v>59</v>
      </c>
      <c r="H11" s="29" t="s">
        <v>617</v>
      </c>
      <c r="I11" s="29" t="s">
        <v>50</v>
      </c>
      <c r="J11" s="30" t="s">
        <v>617</v>
      </c>
      <c r="K11" s="31" t="s">
        <v>18</v>
      </c>
      <c r="L11" s="34">
        <v>0.1</v>
      </c>
      <c r="M11" s="31" t="s">
        <v>19</v>
      </c>
      <c r="N11" s="30" t="s">
        <v>38</v>
      </c>
      <c r="O11" s="30" t="s">
        <v>41</v>
      </c>
      <c r="P11" s="30" t="s">
        <v>625</v>
      </c>
      <c r="Q11" s="32" t="s">
        <v>32</v>
      </c>
      <c r="R11" s="32" t="s">
        <v>765</v>
      </c>
      <c r="S11" s="49" t="s">
        <v>931</v>
      </c>
      <c r="T11" s="2" t="str">
        <f>VLOOKUP(S11,[1]Servicios!$B:$C,2,0)</f>
        <v>HOSPITALIZACIÓN ADULTOS</v>
      </c>
      <c r="U11" s="2" t="s">
        <v>971</v>
      </c>
    </row>
    <row r="12" spans="1:21" ht="192" hidden="1" customHeight="1" x14ac:dyDescent="0.25">
      <c r="A12" s="25" t="s">
        <v>33</v>
      </c>
      <c r="B12" s="26" t="s">
        <v>34</v>
      </c>
      <c r="C12" s="27" t="s">
        <v>435</v>
      </c>
      <c r="D12" s="28" t="s">
        <v>514</v>
      </c>
      <c r="E12" s="29" t="s">
        <v>35</v>
      </c>
      <c r="F12" s="29" t="s">
        <v>36</v>
      </c>
      <c r="G12" s="29" t="s">
        <v>60</v>
      </c>
      <c r="H12" s="29" t="s">
        <v>617</v>
      </c>
      <c r="I12" s="29" t="s">
        <v>51</v>
      </c>
      <c r="J12" s="30" t="s">
        <v>617</v>
      </c>
      <c r="K12" s="31" t="s">
        <v>18</v>
      </c>
      <c r="L12" s="34">
        <v>0.1</v>
      </c>
      <c r="M12" s="31" t="s">
        <v>19</v>
      </c>
      <c r="N12" s="30" t="s">
        <v>38</v>
      </c>
      <c r="O12" s="30" t="s">
        <v>42</v>
      </c>
      <c r="P12" s="30" t="s">
        <v>625</v>
      </c>
      <c r="Q12" s="32" t="s">
        <v>32</v>
      </c>
      <c r="R12" s="32" t="s">
        <v>765</v>
      </c>
      <c r="S12" s="49" t="s">
        <v>931</v>
      </c>
      <c r="T12" s="2" t="str">
        <f>VLOOKUP(S12,[1]Servicios!$B:$C,2,0)</f>
        <v>HOSPITALIZACIÓN ADULTOS</v>
      </c>
      <c r="U12" s="2" t="s">
        <v>971</v>
      </c>
    </row>
    <row r="13" spans="1:21" ht="192" hidden="1" customHeight="1" x14ac:dyDescent="0.25">
      <c r="A13" s="25" t="s">
        <v>33</v>
      </c>
      <c r="B13" s="26" t="s">
        <v>34</v>
      </c>
      <c r="C13" s="27" t="s">
        <v>435</v>
      </c>
      <c r="D13" s="28" t="s">
        <v>515</v>
      </c>
      <c r="E13" s="29" t="s">
        <v>35</v>
      </c>
      <c r="F13" s="29" t="s">
        <v>36</v>
      </c>
      <c r="G13" s="29" t="s">
        <v>60</v>
      </c>
      <c r="H13" s="29" t="s">
        <v>617</v>
      </c>
      <c r="I13" s="29" t="s">
        <v>51</v>
      </c>
      <c r="J13" s="30" t="s">
        <v>617</v>
      </c>
      <c r="K13" s="31" t="s">
        <v>18</v>
      </c>
      <c r="L13" s="34">
        <v>0.1</v>
      </c>
      <c r="M13" s="31" t="s">
        <v>19</v>
      </c>
      <c r="N13" s="30" t="s">
        <v>38</v>
      </c>
      <c r="O13" s="30" t="s">
        <v>42</v>
      </c>
      <c r="P13" s="30" t="s">
        <v>625</v>
      </c>
      <c r="Q13" s="32" t="s">
        <v>32</v>
      </c>
      <c r="R13" s="32" t="s">
        <v>765</v>
      </c>
      <c r="S13" s="49" t="s">
        <v>932</v>
      </c>
      <c r="T13" s="2" t="str">
        <f>VLOOKUP(S13,[1]Servicios!$B:$C,2,0)</f>
        <v>HOSPITALIZACIÓN EN SALUD MENTAL</v>
      </c>
      <c r="U13" s="2" t="s">
        <v>973</v>
      </c>
    </row>
    <row r="14" spans="1:21" ht="185.1" hidden="1" customHeight="1" x14ac:dyDescent="0.25">
      <c r="A14" s="25" t="s">
        <v>33</v>
      </c>
      <c r="B14" s="26" t="s">
        <v>34</v>
      </c>
      <c r="C14" s="27" t="s">
        <v>436</v>
      </c>
      <c r="D14" s="28" t="s">
        <v>516</v>
      </c>
      <c r="E14" s="29" t="s">
        <v>35</v>
      </c>
      <c r="F14" s="29" t="s">
        <v>36</v>
      </c>
      <c r="G14" s="29" t="s">
        <v>61</v>
      </c>
      <c r="H14" s="29" t="s">
        <v>617</v>
      </c>
      <c r="I14" s="29" t="s">
        <v>52</v>
      </c>
      <c r="J14" s="30" t="s">
        <v>617</v>
      </c>
      <c r="K14" s="31" t="s">
        <v>18</v>
      </c>
      <c r="L14" s="34">
        <v>0.1</v>
      </c>
      <c r="M14" s="31" t="s">
        <v>19</v>
      </c>
      <c r="N14" s="30" t="s">
        <v>38</v>
      </c>
      <c r="O14" s="30" t="s">
        <v>43</v>
      </c>
      <c r="P14" s="30" t="s">
        <v>625</v>
      </c>
      <c r="Q14" s="32" t="s">
        <v>32</v>
      </c>
      <c r="R14" s="32" t="s">
        <v>765</v>
      </c>
      <c r="S14" s="49" t="s">
        <v>455</v>
      </c>
      <c r="T14" s="2" t="str">
        <f>VLOOKUP(S14,[1]Servicios!$B:$C,2,0)</f>
        <v>URGENCIAS</v>
      </c>
      <c r="U14" s="2" t="s">
        <v>172</v>
      </c>
    </row>
    <row r="15" spans="1:21" ht="186" hidden="1" customHeight="1" x14ac:dyDescent="0.25">
      <c r="A15" s="25" t="s">
        <v>33</v>
      </c>
      <c r="B15" s="26" t="s">
        <v>34</v>
      </c>
      <c r="C15" s="27" t="s">
        <v>437</v>
      </c>
      <c r="D15" s="28" t="s">
        <v>517</v>
      </c>
      <c r="E15" s="29" t="s">
        <v>35</v>
      </c>
      <c r="F15" s="29" t="s">
        <v>36</v>
      </c>
      <c r="G15" s="29" t="s">
        <v>62</v>
      </c>
      <c r="H15" s="29" t="s">
        <v>617</v>
      </c>
      <c r="I15" s="29" t="s">
        <v>53</v>
      </c>
      <c r="J15" s="30" t="s">
        <v>617</v>
      </c>
      <c r="K15" s="31" t="s">
        <v>18</v>
      </c>
      <c r="L15" s="34">
        <v>0.1</v>
      </c>
      <c r="M15" s="31" t="s">
        <v>19</v>
      </c>
      <c r="N15" s="30" t="s">
        <v>38</v>
      </c>
      <c r="O15" s="30" t="s">
        <v>44</v>
      </c>
      <c r="P15" s="30" t="s">
        <v>625</v>
      </c>
      <c r="Q15" s="32" t="s">
        <v>32</v>
      </c>
      <c r="R15" s="32" t="s">
        <v>765</v>
      </c>
      <c r="S15" s="49" t="s">
        <v>822</v>
      </c>
      <c r="T15" s="2" t="e">
        <f>VLOOKUP(S15,[1]Servicios!$B:$C,2,0)</f>
        <v>#N/A</v>
      </c>
      <c r="U15" s="2" t="s">
        <v>974</v>
      </c>
    </row>
    <row r="16" spans="1:21" ht="189.6" hidden="1" customHeight="1" x14ac:dyDescent="0.25">
      <c r="A16" s="25" t="s">
        <v>33</v>
      </c>
      <c r="B16" s="26" t="s">
        <v>34</v>
      </c>
      <c r="C16" s="27" t="s">
        <v>438</v>
      </c>
      <c r="D16" s="28" t="s">
        <v>518</v>
      </c>
      <c r="E16" s="29" t="s">
        <v>35</v>
      </c>
      <c r="F16" s="29" t="s">
        <v>36</v>
      </c>
      <c r="G16" s="29" t="s">
        <v>63</v>
      </c>
      <c r="H16" s="29" t="s">
        <v>617</v>
      </c>
      <c r="I16" s="29" t="s">
        <v>54</v>
      </c>
      <c r="J16" s="30" t="s">
        <v>617</v>
      </c>
      <c r="K16" s="31" t="s">
        <v>18</v>
      </c>
      <c r="L16" s="34">
        <v>0.1</v>
      </c>
      <c r="M16" s="31" t="s">
        <v>19</v>
      </c>
      <c r="N16" s="30" t="s">
        <v>38</v>
      </c>
      <c r="O16" s="30" t="s">
        <v>45</v>
      </c>
      <c r="P16" s="30" t="s">
        <v>625</v>
      </c>
      <c r="Q16" s="32" t="s">
        <v>32</v>
      </c>
      <c r="R16" s="32" t="s">
        <v>765</v>
      </c>
      <c r="S16" s="49" t="s">
        <v>930</v>
      </c>
      <c r="T16" s="2" t="str">
        <f>VLOOKUP(S16,[1]Servicios!$B:$C,2,0)</f>
        <v xml:space="preserve">IMÁGENES DIAGNOSTICAS- IONIZANTES </v>
      </c>
      <c r="U16" s="2" t="s">
        <v>975</v>
      </c>
    </row>
    <row r="17" spans="1:21" ht="189.6" hidden="1" customHeight="1" x14ac:dyDescent="0.25">
      <c r="A17" s="25" t="s">
        <v>33</v>
      </c>
      <c r="B17" s="26" t="s">
        <v>34</v>
      </c>
      <c r="C17" s="27" t="s">
        <v>438</v>
      </c>
      <c r="D17" s="28" t="s">
        <v>519</v>
      </c>
      <c r="E17" s="29" t="s">
        <v>35</v>
      </c>
      <c r="F17" s="29" t="s">
        <v>36</v>
      </c>
      <c r="G17" s="29" t="s">
        <v>63</v>
      </c>
      <c r="H17" s="29" t="s">
        <v>617</v>
      </c>
      <c r="I17" s="29" t="s">
        <v>54</v>
      </c>
      <c r="J17" s="30" t="s">
        <v>617</v>
      </c>
      <c r="K17" s="31" t="s">
        <v>18</v>
      </c>
      <c r="L17" s="34">
        <v>0.1</v>
      </c>
      <c r="M17" s="31" t="s">
        <v>19</v>
      </c>
      <c r="N17" s="30" t="s">
        <v>38</v>
      </c>
      <c r="O17" s="30" t="s">
        <v>45</v>
      </c>
      <c r="P17" s="30" t="s">
        <v>625</v>
      </c>
      <c r="Q17" s="32" t="s">
        <v>32</v>
      </c>
      <c r="R17" s="32" t="s">
        <v>765</v>
      </c>
      <c r="S17" s="49" t="s">
        <v>930</v>
      </c>
      <c r="T17" s="2" t="str">
        <f>VLOOKUP(S17,[1]Servicios!$B:$C,2,0)</f>
        <v xml:space="preserve">IMÁGENES DIAGNOSTICAS- IONIZANTES </v>
      </c>
      <c r="U17" s="2" t="s">
        <v>975</v>
      </c>
    </row>
    <row r="18" spans="1:21" ht="186" hidden="1" customHeight="1" x14ac:dyDescent="0.25">
      <c r="A18" s="25" t="s">
        <v>33</v>
      </c>
      <c r="B18" s="26" t="s">
        <v>34</v>
      </c>
      <c r="C18" s="27" t="s">
        <v>439</v>
      </c>
      <c r="D18" s="28" t="s">
        <v>520</v>
      </c>
      <c r="E18" s="29" t="s">
        <v>35</v>
      </c>
      <c r="F18" s="29" t="s">
        <v>36</v>
      </c>
      <c r="G18" s="29" t="s">
        <v>64</v>
      </c>
      <c r="H18" s="29" t="s">
        <v>617</v>
      </c>
      <c r="I18" s="29" t="s">
        <v>55</v>
      </c>
      <c r="J18" s="30" t="s">
        <v>617</v>
      </c>
      <c r="K18" s="31" t="s">
        <v>18</v>
      </c>
      <c r="L18" s="34">
        <v>0.1</v>
      </c>
      <c r="M18" s="31" t="s">
        <v>19</v>
      </c>
      <c r="N18" s="30" t="s">
        <v>38</v>
      </c>
      <c r="O18" s="30" t="s">
        <v>46</v>
      </c>
      <c r="P18" s="30" t="s">
        <v>625</v>
      </c>
      <c r="Q18" s="32" t="s">
        <v>32</v>
      </c>
      <c r="R18" s="32" t="s">
        <v>765</v>
      </c>
      <c r="S18" s="49" t="s">
        <v>455</v>
      </c>
      <c r="T18" s="2" t="str">
        <f>VLOOKUP(S18,[1]Servicios!$B:$C,2,0)</f>
        <v>URGENCIAS</v>
      </c>
      <c r="U18" s="2" t="s">
        <v>172</v>
      </c>
    </row>
    <row r="19" spans="1:21" ht="186" hidden="1" customHeight="1" x14ac:dyDescent="0.25">
      <c r="A19" s="25" t="s">
        <v>33</v>
      </c>
      <c r="B19" s="26" t="s">
        <v>34</v>
      </c>
      <c r="C19" s="27" t="s">
        <v>439</v>
      </c>
      <c r="D19" s="28" t="s">
        <v>521</v>
      </c>
      <c r="E19" s="29" t="s">
        <v>35</v>
      </c>
      <c r="F19" s="29" t="s">
        <v>36</v>
      </c>
      <c r="G19" s="29" t="s">
        <v>64</v>
      </c>
      <c r="H19" s="29" t="s">
        <v>617</v>
      </c>
      <c r="I19" s="29" t="s">
        <v>55</v>
      </c>
      <c r="J19" s="30" t="s">
        <v>617</v>
      </c>
      <c r="K19" s="31" t="s">
        <v>18</v>
      </c>
      <c r="L19" s="34">
        <v>0.1</v>
      </c>
      <c r="M19" s="31" t="s">
        <v>19</v>
      </c>
      <c r="N19" s="30" t="s">
        <v>38</v>
      </c>
      <c r="O19" s="30" t="s">
        <v>46</v>
      </c>
      <c r="P19" s="30" t="s">
        <v>625</v>
      </c>
      <c r="Q19" s="32" t="s">
        <v>32</v>
      </c>
      <c r="R19" s="32" t="s">
        <v>765</v>
      </c>
      <c r="S19" s="49" t="s">
        <v>931</v>
      </c>
      <c r="T19" s="2" t="str">
        <f>VLOOKUP(S19,[1]Servicios!$B:$C,2,0)</f>
        <v>HOSPITALIZACIÓN ADULTOS</v>
      </c>
      <c r="U19" s="2" t="s">
        <v>971</v>
      </c>
    </row>
    <row r="20" spans="1:21" ht="186" hidden="1" customHeight="1" x14ac:dyDescent="0.25">
      <c r="A20" s="25" t="s">
        <v>33</v>
      </c>
      <c r="B20" s="26" t="s">
        <v>34</v>
      </c>
      <c r="C20" s="27" t="s">
        <v>439</v>
      </c>
      <c r="D20" s="28" t="s">
        <v>522</v>
      </c>
      <c r="E20" s="29" t="s">
        <v>35</v>
      </c>
      <c r="F20" s="29" t="s">
        <v>36</v>
      </c>
      <c r="G20" s="29" t="s">
        <v>64</v>
      </c>
      <c r="H20" s="29" t="s">
        <v>617</v>
      </c>
      <c r="I20" s="29" t="s">
        <v>55</v>
      </c>
      <c r="J20" s="30" t="s">
        <v>617</v>
      </c>
      <c r="K20" s="31" t="s">
        <v>18</v>
      </c>
      <c r="L20" s="34">
        <v>0.1</v>
      </c>
      <c r="M20" s="31" t="s">
        <v>19</v>
      </c>
      <c r="N20" s="30" t="s">
        <v>38</v>
      </c>
      <c r="O20" s="30" t="s">
        <v>46</v>
      </c>
      <c r="P20" s="30" t="s">
        <v>625</v>
      </c>
      <c r="Q20" s="32" t="s">
        <v>32</v>
      </c>
      <c r="R20" s="32" t="s">
        <v>765</v>
      </c>
      <c r="S20" s="49" t="s">
        <v>932</v>
      </c>
      <c r="T20" s="2" t="str">
        <f>VLOOKUP(S20,[1]Servicios!$B:$C,2,0)</f>
        <v>HOSPITALIZACIÓN EN SALUD MENTAL</v>
      </c>
      <c r="U20" s="2" t="s">
        <v>973</v>
      </c>
    </row>
    <row r="21" spans="1:21" ht="206.1" hidden="1" customHeight="1" x14ac:dyDescent="0.25">
      <c r="A21" s="25" t="s">
        <v>33</v>
      </c>
      <c r="B21" s="26" t="s">
        <v>34</v>
      </c>
      <c r="C21" s="27" t="s">
        <v>440</v>
      </c>
      <c r="D21" s="28" t="s">
        <v>523</v>
      </c>
      <c r="E21" s="29" t="s">
        <v>35</v>
      </c>
      <c r="F21" s="29" t="s">
        <v>36</v>
      </c>
      <c r="G21" s="29" t="s">
        <v>65</v>
      </c>
      <c r="H21" s="29" t="s">
        <v>617</v>
      </c>
      <c r="I21" s="29" t="s">
        <v>56</v>
      </c>
      <c r="J21" s="30" t="s">
        <v>617</v>
      </c>
      <c r="K21" s="31" t="s">
        <v>18</v>
      </c>
      <c r="L21" s="34">
        <v>0.1</v>
      </c>
      <c r="M21" s="31" t="s">
        <v>19</v>
      </c>
      <c r="N21" s="30" t="s">
        <v>38</v>
      </c>
      <c r="O21" s="30" t="s">
        <v>47</v>
      </c>
      <c r="P21" s="30" t="s">
        <v>625</v>
      </c>
      <c r="Q21" s="32" t="s">
        <v>32</v>
      </c>
      <c r="R21" s="32" t="s">
        <v>765</v>
      </c>
      <c r="S21" s="49" t="s">
        <v>933</v>
      </c>
      <c r="T21" s="2" t="str">
        <f>VLOOKUP(S21,[1]Servicios!$B:$C,2,0)</f>
        <v>CUIDADO INTERMEDIO ADULTOS</v>
      </c>
      <c r="U21" s="2" t="s">
        <v>976</v>
      </c>
    </row>
    <row r="22" spans="1:21" ht="206.1" hidden="1" customHeight="1" x14ac:dyDescent="0.25">
      <c r="A22" s="25" t="s">
        <v>33</v>
      </c>
      <c r="B22" s="26" t="s">
        <v>34</v>
      </c>
      <c r="C22" s="27" t="s">
        <v>440</v>
      </c>
      <c r="D22" s="28" t="s">
        <v>524</v>
      </c>
      <c r="E22" s="29" t="s">
        <v>35</v>
      </c>
      <c r="F22" s="29" t="s">
        <v>36</v>
      </c>
      <c r="G22" s="29" t="s">
        <v>65</v>
      </c>
      <c r="H22" s="29" t="s">
        <v>617</v>
      </c>
      <c r="I22" s="29" t="s">
        <v>56</v>
      </c>
      <c r="J22" s="30" t="s">
        <v>617</v>
      </c>
      <c r="K22" s="31" t="s">
        <v>18</v>
      </c>
      <c r="L22" s="34">
        <v>0.1</v>
      </c>
      <c r="M22" s="31" t="s">
        <v>19</v>
      </c>
      <c r="N22" s="30" t="s">
        <v>38</v>
      </c>
      <c r="O22" s="30" t="s">
        <v>47</v>
      </c>
      <c r="P22" s="30" t="s">
        <v>625</v>
      </c>
      <c r="Q22" s="32" t="s">
        <v>32</v>
      </c>
      <c r="R22" s="32" t="s">
        <v>765</v>
      </c>
      <c r="S22" s="49" t="s">
        <v>934</v>
      </c>
      <c r="T22" s="2" t="str">
        <f>VLOOKUP(S22,[1]Servicios!$B:$C,2,0)</f>
        <v>CUIDADO INTENSIVO ADULTOS</v>
      </c>
      <c r="U22" s="2" t="s">
        <v>976</v>
      </c>
    </row>
    <row r="23" spans="1:21" ht="206.1" hidden="1" customHeight="1" x14ac:dyDescent="0.25">
      <c r="A23" s="25" t="s">
        <v>33</v>
      </c>
      <c r="B23" s="26" t="s">
        <v>34</v>
      </c>
      <c r="C23" s="27" t="s">
        <v>440</v>
      </c>
      <c r="D23" s="28" t="s">
        <v>525</v>
      </c>
      <c r="E23" s="29" t="s">
        <v>35</v>
      </c>
      <c r="F23" s="29" t="s">
        <v>36</v>
      </c>
      <c r="G23" s="29" t="s">
        <v>65</v>
      </c>
      <c r="H23" s="29" t="s">
        <v>617</v>
      </c>
      <c r="I23" s="29" t="s">
        <v>56</v>
      </c>
      <c r="J23" s="30" t="s">
        <v>617</v>
      </c>
      <c r="K23" s="31" t="s">
        <v>18</v>
      </c>
      <c r="L23" s="34">
        <v>0.1</v>
      </c>
      <c r="M23" s="31" t="s">
        <v>19</v>
      </c>
      <c r="N23" s="30" t="s">
        <v>38</v>
      </c>
      <c r="O23" s="30" t="s">
        <v>47</v>
      </c>
      <c r="P23" s="30" t="s">
        <v>625</v>
      </c>
      <c r="Q23" s="32" t="s">
        <v>32</v>
      </c>
      <c r="R23" s="32" t="s">
        <v>765</v>
      </c>
      <c r="S23" s="49" t="s">
        <v>931</v>
      </c>
      <c r="T23" s="2" t="str">
        <f>VLOOKUP(S23,[1]Servicios!$B:$C,2,0)</f>
        <v>HOSPITALIZACIÓN ADULTOS</v>
      </c>
      <c r="U23" s="2" t="s">
        <v>971</v>
      </c>
    </row>
    <row r="24" spans="1:21" s="2" customFormat="1" ht="63.75" hidden="1" x14ac:dyDescent="0.25">
      <c r="A24" s="25" t="s">
        <v>33</v>
      </c>
      <c r="B24" s="26" t="s">
        <v>119</v>
      </c>
      <c r="C24" s="27" t="s">
        <v>441</v>
      </c>
      <c r="D24" s="28" t="s">
        <v>526</v>
      </c>
      <c r="E24" s="29" t="s">
        <v>120</v>
      </c>
      <c r="F24" s="29" t="s">
        <v>121</v>
      </c>
      <c r="G24" s="29" t="s">
        <v>122</v>
      </c>
      <c r="H24" s="29" t="s">
        <v>617</v>
      </c>
      <c r="I24" s="29" t="s">
        <v>123</v>
      </c>
      <c r="J24" s="30" t="s">
        <v>617</v>
      </c>
      <c r="K24" s="31" t="s">
        <v>124</v>
      </c>
      <c r="L24" s="27" t="s">
        <v>623</v>
      </c>
      <c r="M24" s="31" t="s">
        <v>19</v>
      </c>
      <c r="N24" s="30" t="s">
        <v>125</v>
      </c>
      <c r="O24" s="30" t="s">
        <v>126</v>
      </c>
      <c r="P24" s="30" t="s">
        <v>625</v>
      </c>
      <c r="Q24" s="32" t="s">
        <v>32</v>
      </c>
      <c r="R24" s="32" t="s">
        <v>765</v>
      </c>
      <c r="S24" s="49" t="s">
        <v>935</v>
      </c>
      <c r="T24" s="2" t="str">
        <f>VLOOKUP(S24,[1]Servicios!$B:$C,2,0)</f>
        <v>HOSPITALIZACIÓN PACIENTE CRÓNICO CON VENTILADOR</v>
      </c>
      <c r="U24" s="2" t="s">
        <v>972</v>
      </c>
    </row>
    <row r="25" spans="1:21" s="2" customFormat="1" ht="63.75" hidden="1" x14ac:dyDescent="0.25">
      <c r="A25" s="25" t="s">
        <v>33</v>
      </c>
      <c r="B25" s="26" t="s">
        <v>119</v>
      </c>
      <c r="C25" s="27" t="s">
        <v>441</v>
      </c>
      <c r="D25" s="28" t="s">
        <v>527</v>
      </c>
      <c r="E25" s="29" t="s">
        <v>120</v>
      </c>
      <c r="F25" s="29" t="s">
        <v>121</v>
      </c>
      <c r="G25" s="29" t="s">
        <v>122</v>
      </c>
      <c r="H25" s="29" t="s">
        <v>617</v>
      </c>
      <c r="I25" s="29" t="s">
        <v>123</v>
      </c>
      <c r="J25" s="30" t="s">
        <v>617</v>
      </c>
      <c r="K25" s="31" t="s">
        <v>124</v>
      </c>
      <c r="L25" s="27" t="s">
        <v>623</v>
      </c>
      <c r="M25" s="31" t="s">
        <v>19</v>
      </c>
      <c r="N25" s="30" t="s">
        <v>125</v>
      </c>
      <c r="O25" s="30" t="s">
        <v>126</v>
      </c>
      <c r="P25" s="30" t="s">
        <v>625</v>
      </c>
      <c r="Q25" s="32" t="s">
        <v>32</v>
      </c>
      <c r="R25" s="32" t="s">
        <v>765</v>
      </c>
      <c r="S25" s="49" t="s">
        <v>936</v>
      </c>
      <c r="T25" s="2" t="str">
        <f>VLOOKUP(S25,[1]Servicios!$B:$C,2,0)</f>
        <v>HOSPITALIZACIÓN PACIENTE CRÓNICO SIN VENTILADOR</v>
      </c>
      <c r="U25" s="2" t="s">
        <v>977</v>
      </c>
    </row>
    <row r="26" spans="1:21" s="2" customFormat="1" ht="63.75" hidden="1" x14ac:dyDescent="0.25">
      <c r="A26" s="25" t="s">
        <v>33</v>
      </c>
      <c r="B26" s="26" t="s">
        <v>119</v>
      </c>
      <c r="C26" s="27" t="s">
        <v>441</v>
      </c>
      <c r="D26" s="28" t="s">
        <v>528</v>
      </c>
      <c r="E26" s="29" t="s">
        <v>120</v>
      </c>
      <c r="F26" s="29" t="s">
        <v>121</v>
      </c>
      <c r="G26" s="29" t="s">
        <v>122</v>
      </c>
      <c r="H26" s="29" t="s">
        <v>617</v>
      </c>
      <c r="I26" s="29" t="s">
        <v>123</v>
      </c>
      <c r="J26" s="30" t="s">
        <v>617</v>
      </c>
      <c r="K26" s="31" t="s">
        <v>124</v>
      </c>
      <c r="L26" s="27" t="s">
        <v>623</v>
      </c>
      <c r="M26" s="31" t="s">
        <v>19</v>
      </c>
      <c r="N26" s="30" t="s">
        <v>125</v>
      </c>
      <c r="O26" s="30" t="s">
        <v>126</v>
      </c>
      <c r="P26" s="30" t="s">
        <v>625</v>
      </c>
      <c r="Q26" s="32" t="s">
        <v>32</v>
      </c>
      <c r="R26" s="32" t="s">
        <v>765</v>
      </c>
      <c r="S26" s="49" t="s">
        <v>937</v>
      </c>
      <c r="T26" s="2" t="str">
        <f>VLOOKUP(S26,[1]Servicios!$B:$C,2,0)</f>
        <v>HOSPITALIZACIÓN EN  CONSUMO DE SUSTANCIAS PSICOACTIVAS</v>
      </c>
      <c r="U26" s="2" t="s">
        <v>977</v>
      </c>
    </row>
    <row r="27" spans="1:21" s="2" customFormat="1" ht="63.75" hidden="1" x14ac:dyDescent="0.25">
      <c r="A27" s="25" t="s">
        <v>33</v>
      </c>
      <c r="B27" s="26" t="s">
        <v>119</v>
      </c>
      <c r="C27" s="27" t="s">
        <v>441</v>
      </c>
      <c r="D27" s="28" t="s">
        <v>529</v>
      </c>
      <c r="E27" s="29" t="s">
        <v>120</v>
      </c>
      <c r="F27" s="29" t="s">
        <v>121</v>
      </c>
      <c r="G27" s="29" t="s">
        <v>122</v>
      </c>
      <c r="H27" s="29" t="s">
        <v>617</v>
      </c>
      <c r="I27" s="29" t="s">
        <v>123</v>
      </c>
      <c r="J27" s="30" t="s">
        <v>617</v>
      </c>
      <c r="K27" s="31" t="s">
        <v>124</v>
      </c>
      <c r="L27" s="27" t="s">
        <v>623</v>
      </c>
      <c r="M27" s="31" t="s">
        <v>19</v>
      </c>
      <c r="N27" s="30" t="s">
        <v>125</v>
      </c>
      <c r="O27" s="30" t="s">
        <v>126</v>
      </c>
      <c r="P27" s="30" t="s">
        <v>625</v>
      </c>
      <c r="Q27" s="32" t="s">
        <v>32</v>
      </c>
      <c r="R27" s="32" t="s">
        <v>765</v>
      </c>
      <c r="S27" s="49" t="s">
        <v>933</v>
      </c>
      <c r="T27" s="2" t="str">
        <f>VLOOKUP(S27,[1]Servicios!$B:$C,2,0)</f>
        <v>CUIDADO INTERMEDIO ADULTOS</v>
      </c>
      <c r="U27" s="2" t="s">
        <v>976</v>
      </c>
    </row>
    <row r="28" spans="1:21" s="2" customFormat="1" ht="63.75" hidden="1" x14ac:dyDescent="0.25">
      <c r="A28" s="25" t="s">
        <v>33</v>
      </c>
      <c r="B28" s="26" t="s">
        <v>119</v>
      </c>
      <c r="C28" s="27" t="s">
        <v>441</v>
      </c>
      <c r="D28" s="28" t="s">
        <v>530</v>
      </c>
      <c r="E28" s="29" t="s">
        <v>120</v>
      </c>
      <c r="F28" s="29" t="s">
        <v>121</v>
      </c>
      <c r="G28" s="29" t="s">
        <v>122</v>
      </c>
      <c r="H28" s="29" t="s">
        <v>617</v>
      </c>
      <c r="I28" s="29" t="s">
        <v>123</v>
      </c>
      <c r="J28" s="30" t="s">
        <v>617</v>
      </c>
      <c r="K28" s="31" t="s">
        <v>124</v>
      </c>
      <c r="L28" s="27" t="s">
        <v>623</v>
      </c>
      <c r="M28" s="31" t="s">
        <v>19</v>
      </c>
      <c r="N28" s="30" t="s">
        <v>125</v>
      </c>
      <c r="O28" s="30" t="s">
        <v>126</v>
      </c>
      <c r="P28" s="30" t="s">
        <v>625</v>
      </c>
      <c r="Q28" s="32" t="s">
        <v>32</v>
      </c>
      <c r="R28" s="32" t="s">
        <v>765</v>
      </c>
      <c r="S28" s="49" t="s">
        <v>934</v>
      </c>
      <c r="T28" s="2" t="str">
        <f>VLOOKUP(S28,[1]Servicios!$B:$C,2,0)</f>
        <v>CUIDADO INTENSIVO ADULTOS</v>
      </c>
      <c r="U28" s="2" t="s">
        <v>976</v>
      </c>
    </row>
    <row r="29" spans="1:21" s="2" customFormat="1" ht="63.75" hidden="1" x14ac:dyDescent="0.25">
      <c r="A29" s="25" t="s">
        <v>33</v>
      </c>
      <c r="B29" s="26" t="s">
        <v>119</v>
      </c>
      <c r="C29" s="27" t="s">
        <v>441</v>
      </c>
      <c r="D29" s="28" t="s">
        <v>531</v>
      </c>
      <c r="E29" s="29" t="s">
        <v>120</v>
      </c>
      <c r="F29" s="29" t="s">
        <v>121</v>
      </c>
      <c r="G29" s="29" t="s">
        <v>122</v>
      </c>
      <c r="H29" s="29" t="s">
        <v>617</v>
      </c>
      <c r="I29" s="29" t="s">
        <v>123</v>
      </c>
      <c r="J29" s="30" t="s">
        <v>617</v>
      </c>
      <c r="K29" s="31" t="s">
        <v>124</v>
      </c>
      <c r="L29" s="27" t="s">
        <v>623</v>
      </c>
      <c r="M29" s="31" t="s">
        <v>19</v>
      </c>
      <c r="N29" s="30" t="s">
        <v>125</v>
      </c>
      <c r="O29" s="30" t="s">
        <v>126</v>
      </c>
      <c r="P29" s="30" t="s">
        <v>625</v>
      </c>
      <c r="Q29" s="32" t="s">
        <v>32</v>
      </c>
      <c r="R29" s="32" t="s">
        <v>765</v>
      </c>
      <c r="S29" s="49" t="s">
        <v>931</v>
      </c>
      <c r="T29" s="2" t="str">
        <f>VLOOKUP(S29,[1]Servicios!$B:$C,2,0)</f>
        <v>HOSPITALIZACIÓN ADULTOS</v>
      </c>
      <c r="U29" s="2" t="s">
        <v>971</v>
      </c>
    </row>
    <row r="30" spans="1:21" s="2" customFormat="1" ht="63.75" hidden="1" x14ac:dyDescent="0.25">
      <c r="A30" s="25" t="s">
        <v>33</v>
      </c>
      <c r="B30" s="26" t="s">
        <v>119</v>
      </c>
      <c r="C30" s="27" t="s">
        <v>441</v>
      </c>
      <c r="D30" s="28" t="s">
        <v>532</v>
      </c>
      <c r="E30" s="29" t="s">
        <v>120</v>
      </c>
      <c r="F30" s="29" t="s">
        <v>121</v>
      </c>
      <c r="G30" s="29" t="s">
        <v>122</v>
      </c>
      <c r="H30" s="29" t="s">
        <v>617</v>
      </c>
      <c r="I30" s="29" t="s">
        <v>123</v>
      </c>
      <c r="J30" s="30" t="s">
        <v>617</v>
      </c>
      <c r="K30" s="31" t="s">
        <v>124</v>
      </c>
      <c r="L30" s="27" t="s">
        <v>623</v>
      </c>
      <c r="M30" s="31" t="s">
        <v>19</v>
      </c>
      <c r="N30" s="30" t="s">
        <v>125</v>
      </c>
      <c r="O30" s="30" t="s">
        <v>126</v>
      </c>
      <c r="P30" s="30" t="s">
        <v>625</v>
      </c>
      <c r="Q30" s="32" t="s">
        <v>32</v>
      </c>
      <c r="R30" s="32" t="s">
        <v>765</v>
      </c>
      <c r="S30" s="49" t="s">
        <v>932</v>
      </c>
      <c r="T30" s="2" t="str">
        <f>VLOOKUP(S30,[1]Servicios!$B:$C,2,0)</f>
        <v>HOSPITALIZACIÓN EN SALUD MENTAL</v>
      </c>
      <c r="U30" s="2" t="s">
        <v>973</v>
      </c>
    </row>
    <row r="31" spans="1:21" s="2" customFormat="1" ht="63.75" hidden="1" x14ac:dyDescent="0.25">
      <c r="A31" s="25" t="s">
        <v>33</v>
      </c>
      <c r="B31" s="26" t="s">
        <v>119</v>
      </c>
      <c r="C31" s="27" t="s">
        <v>441</v>
      </c>
      <c r="D31" s="28" t="s">
        <v>533</v>
      </c>
      <c r="E31" s="29" t="s">
        <v>120</v>
      </c>
      <c r="F31" s="29" t="s">
        <v>121</v>
      </c>
      <c r="G31" s="29" t="s">
        <v>122</v>
      </c>
      <c r="H31" s="29" t="s">
        <v>617</v>
      </c>
      <c r="I31" s="29" t="s">
        <v>123</v>
      </c>
      <c r="J31" s="30" t="s">
        <v>617</v>
      </c>
      <c r="K31" s="31" t="s">
        <v>124</v>
      </c>
      <c r="L31" s="27" t="s">
        <v>623</v>
      </c>
      <c r="M31" s="31" t="s">
        <v>19</v>
      </c>
      <c r="N31" s="30" t="s">
        <v>125</v>
      </c>
      <c r="O31" s="30" t="s">
        <v>126</v>
      </c>
      <c r="P31" s="30" t="s">
        <v>625</v>
      </c>
      <c r="Q31" s="32" t="s">
        <v>32</v>
      </c>
      <c r="R31" s="32" t="s">
        <v>765</v>
      </c>
      <c r="S31" s="49" t="s">
        <v>938</v>
      </c>
      <c r="T31" s="2" t="str">
        <f>VLOOKUP(S31,[1]Servicios!$B:$C,2,0)</f>
        <v>HOSPITALIZACIÓN PARCIAL</v>
      </c>
      <c r="U31" s="2" t="s">
        <v>977</v>
      </c>
    </row>
    <row r="32" spans="1:21" ht="51" hidden="1" x14ac:dyDescent="0.25">
      <c r="A32" s="25" t="s">
        <v>33</v>
      </c>
      <c r="B32" s="26" t="s">
        <v>128</v>
      </c>
      <c r="C32" s="27" t="s">
        <v>442</v>
      </c>
      <c r="D32" s="28" t="s">
        <v>534</v>
      </c>
      <c r="E32" s="29" t="s">
        <v>129</v>
      </c>
      <c r="F32" s="29" t="s">
        <v>130</v>
      </c>
      <c r="G32" s="29" t="s">
        <v>131</v>
      </c>
      <c r="H32" s="29" t="s">
        <v>617</v>
      </c>
      <c r="I32" s="29" t="s">
        <v>132</v>
      </c>
      <c r="J32" s="30" t="s">
        <v>617</v>
      </c>
      <c r="K32" s="31" t="s">
        <v>133</v>
      </c>
      <c r="L32" s="27" t="s">
        <v>622</v>
      </c>
      <c r="M32" s="31" t="s">
        <v>19</v>
      </c>
      <c r="N32" s="30" t="s">
        <v>125</v>
      </c>
      <c r="O32" s="30" t="s">
        <v>134</v>
      </c>
      <c r="P32" s="30" t="s">
        <v>625</v>
      </c>
      <c r="Q32" s="32" t="s">
        <v>32</v>
      </c>
      <c r="R32" s="32" t="s">
        <v>765</v>
      </c>
      <c r="S32" s="49" t="s">
        <v>455</v>
      </c>
      <c r="T32" s="2" t="str">
        <f>VLOOKUP(S32,[1]Servicios!$B:$C,2,0)</f>
        <v>URGENCIAS</v>
      </c>
      <c r="U32" s="2" t="s">
        <v>172</v>
      </c>
    </row>
    <row r="33" spans="1:21" ht="76.5" hidden="1" x14ac:dyDescent="0.25">
      <c r="A33" s="25" t="s">
        <v>33</v>
      </c>
      <c r="B33" s="26" t="s">
        <v>127</v>
      </c>
      <c r="C33" s="27" t="s">
        <v>443</v>
      </c>
      <c r="D33" s="28" t="s">
        <v>535</v>
      </c>
      <c r="E33" s="29" t="s">
        <v>135</v>
      </c>
      <c r="F33" s="29" t="s">
        <v>136</v>
      </c>
      <c r="G33" s="29" t="s">
        <v>137</v>
      </c>
      <c r="H33" s="29" t="s">
        <v>617</v>
      </c>
      <c r="I33" s="29" t="s">
        <v>138</v>
      </c>
      <c r="J33" s="30" t="s">
        <v>617</v>
      </c>
      <c r="K33" s="31" t="s">
        <v>133</v>
      </c>
      <c r="L33" s="27" t="s">
        <v>623</v>
      </c>
      <c r="M33" s="31" t="s">
        <v>19</v>
      </c>
      <c r="N33" s="30" t="s">
        <v>125</v>
      </c>
      <c r="O33" s="30" t="s">
        <v>139</v>
      </c>
      <c r="P33" s="30" t="s">
        <v>625</v>
      </c>
      <c r="Q33" s="32" t="s">
        <v>32</v>
      </c>
      <c r="R33" s="32" t="s">
        <v>765</v>
      </c>
      <c r="S33" s="49" t="s">
        <v>939</v>
      </c>
      <c r="T33" s="2" t="str">
        <f>VLOOKUP(S33,[1]Servicios!$B:$C,2,0)</f>
        <v>CIRUGÍA DE CABEZA Y CUELLO</v>
      </c>
      <c r="U33" s="2" t="s">
        <v>127</v>
      </c>
    </row>
    <row r="34" spans="1:21" ht="76.5" hidden="1" x14ac:dyDescent="0.25">
      <c r="A34" s="25" t="s">
        <v>33</v>
      </c>
      <c r="B34" s="26" t="s">
        <v>127</v>
      </c>
      <c r="C34" s="27" t="s">
        <v>443</v>
      </c>
      <c r="D34" s="28" t="s">
        <v>536</v>
      </c>
      <c r="E34" s="29" t="s">
        <v>135</v>
      </c>
      <c r="F34" s="29" t="s">
        <v>136</v>
      </c>
      <c r="G34" s="29" t="s">
        <v>137</v>
      </c>
      <c r="H34" s="29" t="s">
        <v>617</v>
      </c>
      <c r="I34" s="29" t="s">
        <v>138</v>
      </c>
      <c r="J34" s="30" t="s">
        <v>617</v>
      </c>
      <c r="K34" s="31" t="s">
        <v>133</v>
      </c>
      <c r="L34" s="27" t="s">
        <v>623</v>
      </c>
      <c r="M34" s="31" t="s">
        <v>19</v>
      </c>
      <c r="N34" s="30" t="s">
        <v>125</v>
      </c>
      <c r="O34" s="30" t="s">
        <v>139</v>
      </c>
      <c r="P34" s="30" t="s">
        <v>625</v>
      </c>
      <c r="Q34" s="32" t="s">
        <v>32</v>
      </c>
      <c r="R34" s="32" t="s">
        <v>765</v>
      </c>
      <c r="S34" s="49" t="s">
        <v>940</v>
      </c>
      <c r="T34" s="2" t="str">
        <f>VLOOKUP(S34,[1]Servicios!$B:$C,2,0)</f>
        <v xml:space="preserve">CIRUGÍA CARDIOVASCULAR </v>
      </c>
      <c r="U34" s="2" t="s">
        <v>127</v>
      </c>
    </row>
    <row r="35" spans="1:21" ht="76.5" hidden="1" x14ac:dyDescent="0.25">
      <c r="A35" s="25" t="s">
        <v>33</v>
      </c>
      <c r="B35" s="26" t="s">
        <v>127</v>
      </c>
      <c r="C35" s="27" t="s">
        <v>443</v>
      </c>
      <c r="D35" s="28" t="s">
        <v>537</v>
      </c>
      <c r="E35" s="29" t="s">
        <v>135</v>
      </c>
      <c r="F35" s="29" t="s">
        <v>136</v>
      </c>
      <c r="G35" s="29" t="s">
        <v>137</v>
      </c>
      <c r="H35" s="29" t="s">
        <v>617</v>
      </c>
      <c r="I35" s="29" t="s">
        <v>138</v>
      </c>
      <c r="J35" s="30" t="s">
        <v>617</v>
      </c>
      <c r="K35" s="31" t="s">
        <v>133</v>
      </c>
      <c r="L35" s="27" t="s">
        <v>623</v>
      </c>
      <c r="M35" s="31" t="s">
        <v>19</v>
      </c>
      <c r="N35" s="30" t="s">
        <v>125</v>
      </c>
      <c r="O35" s="30" t="s">
        <v>139</v>
      </c>
      <c r="P35" s="30" t="s">
        <v>625</v>
      </c>
      <c r="Q35" s="32" t="s">
        <v>32</v>
      </c>
      <c r="R35" s="32" t="s">
        <v>765</v>
      </c>
      <c r="S35" s="49" t="s">
        <v>941</v>
      </c>
      <c r="T35" s="2" t="str">
        <f>VLOOKUP(S35,[1]Servicios!$B:$C,2,0)</f>
        <v>CIRUGÍA GENERAL</v>
      </c>
      <c r="U35" s="2" t="s">
        <v>127</v>
      </c>
    </row>
    <row r="36" spans="1:21" ht="76.5" hidden="1" x14ac:dyDescent="0.25">
      <c r="A36" s="25" t="s">
        <v>33</v>
      </c>
      <c r="B36" s="26" t="s">
        <v>127</v>
      </c>
      <c r="C36" s="27" t="s">
        <v>443</v>
      </c>
      <c r="D36" s="28" t="s">
        <v>538</v>
      </c>
      <c r="E36" s="29" t="s">
        <v>135</v>
      </c>
      <c r="F36" s="29" t="s">
        <v>136</v>
      </c>
      <c r="G36" s="29" t="s">
        <v>137</v>
      </c>
      <c r="H36" s="29" t="s">
        <v>617</v>
      </c>
      <c r="I36" s="29" t="s">
        <v>138</v>
      </c>
      <c r="J36" s="30" t="s">
        <v>617</v>
      </c>
      <c r="K36" s="31" t="s">
        <v>133</v>
      </c>
      <c r="L36" s="27" t="s">
        <v>623</v>
      </c>
      <c r="M36" s="31" t="s">
        <v>19</v>
      </c>
      <c r="N36" s="30" t="s">
        <v>125</v>
      </c>
      <c r="O36" s="30" t="s">
        <v>139</v>
      </c>
      <c r="P36" s="30" t="s">
        <v>625</v>
      </c>
      <c r="Q36" s="32" t="s">
        <v>32</v>
      </c>
      <c r="R36" s="32" t="s">
        <v>765</v>
      </c>
      <c r="S36" s="49" t="s">
        <v>942</v>
      </c>
      <c r="T36" s="2" t="str">
        <f>VLOOKUP(S36,[1]Servicios!$B:$C,2,0)</f>
        <v>CIRUGÍA MAXILOFACIAL</v>
      </c>
      <c r="U36" s="2" t="s">
        <v>127</v>
      </c>
    </row>
    <row r="37" spans="1:21" ht="76.5" hidden="1" x14ac:dyDescent="0.25">
      <c r="A37" s="25" t="s">
        <v>33</v>
      </c>
      <c r="B37" s="26" t="s">
        <v>127</v>
      </c>
      <c r="C37" s="27" t="s">
        <v>443</v>
      </c>
      <c r="D37" s="28" t="s">
        <v>539</v>
      </c>
      <c r="E37" s="29" t="s">
        <v>135</v>
      </c>
      <c r="F37" s="29" t="s">
        <v>136</v>
      </c>
      <c r="G37" s="29" t="s">
        <v>137</v>
      </c>
      <c r="H37" s="29" t="s">
        <v>617</v>
      </c>
      <c r="I37" s="29" t="s">
        <v>138</v>
      </c>
      <c r="J37" s="30" t="s">
        <v>617</v>
      </c>
      <c r="K37" s="31" t="s">
        <v>133</v>
      </c>
      <c r="L37" s="27" t="s">
        <v>623</v>
      </c>
      <c r="M37" s="31" t="s">
        <v>19</v>
      </c>
      <c r="N37" s="30" t="s">
        <v>125</v>
      </c>
      <c r="O37" s="30" t="s">
        <v>139</v>
      </c>
      <c r="P37" s="30" t="s">
        <v>625</v>
      </c>
      <c r="Q37" s="32" t="s">
        <v>32</v>
      </c>
      <c r="R37" s="32" t="s">
        <v>765</v>
      </c>
      <c r="S37" s="49" t="s">
        <v>943</v>
      </c>
      <c r="T37" s="2" t="str">
        <f>VLOOKUP(S37,[1]Servicios!$B:$C,2,0)</f>
        <v>CIRUGÍA ORTOPÉDICA</v>
      </c>
      <c r="U37" s="2" t="s">
        <v>127</v>
      </c>
    </row>
    <row r="38" spans="1:21" ht="76.5" hidden="1" x14ac:dyDescent="0.25">
      <c r="A38" s="25" t="s">
        <v>33</v>
      </c>
      <c r="B38" s="26" t="s">
        <v>127</v>
      </c>
      <c r="C38" s="27" t="s">
        <v>443</v>
      </c>
      <c r="D38" s="28" t="s">
        <v>540</v>
      </c>
      <c r="E38" s="29" t="s">
        <v>135</v>
      </c>
      <c r="F38" s="29" t="s">
        <v>136</v>
      </c>
      <c r="G38" s="29" t="s">
        <v>137</v>
      </c>
      <c r="H38" s="29" t="s">
        <v>617</v>
      </c>
      <c r="I38" s="29" t="s">
        <v>138</v>
      </c>
      <c r="J38" s="30" t="s">
        <v>617</v>
      </c>
      <c r="K38" s="31" t="s">
        <v>133</v>
      </c>
      <c r="L38" s="27" t="s">
        <v>623</v>
      </c>
      <c r="M38" s="31" t="s">
        <v>19</v>
      </c>
      <c r="N38" s="30" t="s">
        <v>125</v>
      </c>
      <c r="O38" s="30" t="s">
        <v>139</v>
      </c>
      <c r="P38" s="30" t="s">
        <v>625</v>
      </c>
      <c r="Q38" s="32" t="s">
        <v>32</v>
      </c>
      <c r="R38" s="32" t="s">
        <v>765</v>
      </c>
      <c r="S38" s="49" t="s">
        <v>944</v>
      </c>
      <c r="T38" s="2" t="str">
        <f>VLOOKUP(S38,[1]Servicios!$B:$C,2,0)</f>
        <v>CIRUGÍA OFTALMOLÓGICA</v>
      </c>
      <c r="U38" s="2" t="s">
        <v>127</v>
      </c>
    </row>
    <row r="39" spans="1:21" ht="76.5" hidden="1" x14ac:dyDescent="0.25">
      <c r="A39" s="25" t="s">
        <v>33</v>
      </c>
      <c r="B39" s="26" t="s">
        <v>127</v>
      </c>
      <c r="C39" s="27" t="s">
        <v>443</v>
      </c>
      <c r="D39" s="28" t="s">
        <v>541</v>
      </c>
      <c r="E39" s="29" t="s">
        <v>135</v>
      </c>
      <c r="F39" s="29" t="s">
        <v>136</v>
      </c>
      <c r="G39" s="29" t="s">
        <v>137</v>
      </c>
      <c r="H39" s="29" t="s">
        <v>617</v>
      </c>
      <c r="I39" s="29" t="s">
        <v>138</v>
      </c>
      <c r="J39" s="30" t="s">
        <v>617</v>
      </c>
      <c r="K39" s="31" t="s">
        <v>133</v>
      </c>
      <c r="L39" s="27" t="s">
        <v>623</v>
      </c>
      <c r="M39" s="31" t="s">
        <v>19</v>
      </c>
      <c r="N39" s="30" t="s">
        <v>125</v>
      </c>
      <c r="O39" s="30" t="s">
        <v>139</v>
      </c>
      <c r="P39" s="30" t="s">
        <v>625</v>
      </c>
      <c r="Q39" s="32" t="s">
        <v>32</v>
      </c>
      <c r="R39" s="32" t="s">
        <v>765</v>
      </c>
      <c r="S39" s="49" t="s">
        <v>945</v>
      </c>
      <c r="T39" s="2" t="str">
        <f>VLOOKUP(S39,[1]Servicios!$B:$C,2,0)</f>
        <v>CIRUGÍA OTORRINOLARINGOLOGÍA</v>
      </c>
      <c r="U39" s="2" t="s">
        <v>127</v>
      </c>
    </row>
    <row r="40" spans="1:21" ht="76.5" hidden="1" x14ac:dyDescent="0.25">
      <c r="A40" s="25" t="s">
        <v>33</v>
      </c>
      <c r="B40" s="26" t="s">
        <v>127</v>
      </c>
      <c r="C40" s="27" t="s">
        <v>443</v>
      </c>
      <c r="D40" s="28" t="s">
        <v>543</v>
      </c>
      <c r="E40" s="29" t="s">
        <v>135</v>
      </c>
      <c r="F40" s="29" t="s">
        <v>136</v>
      </c>
      <c r="G40" s="29" t="s">
        <v>137</v>
      </c>
      <c r="H40" s="29" t="s">
        <v>617</v>
      </c>
      <c r="I40" s="29" t="s">
        <v>138</v>
      </c>
      <c r="J40" s="30" t="s">
        <v>617</v>
      </c>
      <c r="K40" s="31" t="s">
        <v>133</v>
      </c>
      <c r="L40" s="27" t="s">
        <v>623</v>
      </c>
      <c r="M40" s="31" t="s">
        <v>19</v>
      </c>
      <c r="N40" s="30" t="s">
        <v>125</v>
      </c>
      <c r="O40" s="30" t="s">
        <v>139</v>
      </c>
      <c r="P40" s="30" t="s">
        <v>625</v>
      </c>
      <c r="Q40" s="32" t="s">
        <v>32</v>
      </c>
      <c r="R40" s="32" t="s">
        <v>765</v>
      </c>
      <c r="S40" s="49" t="s">
        <v>946</v>
      </c>
      <c r="T40" s="2" t="str">
        <f>VLOOKUP(S40,[1]Servicios!$B:$C,2,0)</f>
        <v>CIRUGÍA ONCOLÓGICA</v>
      </c>
      <c r="U40" s="2" t="s">
        <v>127</v>
      </c>
    </row>
    <row r="41" spans="1:21" ht="76.5" hidden="1" x14ac:dyDescent="0.25">
      <c r="A41" s="25" t="s">
        <v>33</v>
      </c>
      <c r="B41" s="26" t="s">
        <v>127</v>
      </c>
      <c r="C41" s="27" t="s">
        <v>443</v>
      </c>
      <c r="D41" s="28" t="s">
        <v>542</v>
      </c>
      <c r="E41" s="29" t="s">
        <v>135</v>
      </c>
      <c r="F41" s="29" t="s">
        <v>136</v>
      </c>
      <c r="G41" s="29" t="s">
        <v>137</v>
      </c>
      <c r="H41" s="29" t="s">
        <v>617</v>
      </c>
      <c r="I41" s="29" t="s">
        <v>138</v>
      </c>
      <c r="J41" s="30" t="s">
        <v>617</v>
      </c>
      <c r="K41" s="31" t="s">
        <v>133</v>
      </c>
      <c r="L41" s="27" t="s">
        <v>623</v>
      </c>
      <c r="M41" s="31" t="s">
        <v>19</v>
      </c>
      <c r="N41" s="30" t="s">
        <v>125</v>
      </c>
      <c r="O41" s="30" t="s">
        <v>139</v>
      </c>
      <c r="P41" s="30" t="s">
        <v>625</v>
      </c>
      <c r="Q41" s="32" t="s">
        <v>32</v>
      </c>
      <c r="R41" s="32" t="s">
        <v>765</v>
      </c>
      <c r="S41" s="49" t="s">
        <v>947</v>
      </c>
      <c r="T41" s="2" t="str">
        <f>VLOOKUP(S41,[1]Servicios!$B:$C,2,0)</f>
        <v>CIRUGÍA ORAL</v>
      </c>
      <c r="U41" s="2" t="s">
        <v>127</v>
      </c>
    </row>
    <row r="42" spans="1:21" ht="76.5" hidden="1" x14ac:dyDescent="0.25">
      <c r="A42" s="25" t="s">
        <v>33</v>
      </c>
      <c r="B42" s="26" t="s">
        <v>127</v>
      </c>
      <c r="C42" s="27" t="s">
        <v>443</v>
      </c>
      <c r="D42" s="28" t="s">
        <v>544</v>
      </c>
      <c r="E42" s="29" t="s">
        <v>135</v>
      </c>
      <c r="F42" s="29" t="s">
        <v>136</v>
      </c>
      <c r="G42" s="29" t="s">
        <v>137</v>
      </c>
      <c r="H42" s="29" t="s">
        <v>617</v>
      </c>
      <c r="I42" s="29" t="s">
        <v>138</v>
      </c>
      <c r="J42" s="30" t="s">
        <v>617</v>
      </c>
      <c r="K42" s="31" t="s">
        <v>133</v>
      </c>
      <c r="L42" s="27" t="s">
        <v>623</v>
      </c>
      <c r="M42" s="31" t="s">
        <v>19</v>
      </c>
      <c r="N42" s="30" t="s">
        <v>125</v>
      </c>
      <c r="O42" s="30" t="s">
        <v>139</v>
      </c>
      <c r="P42" s="30" t="s">
        <v>625</v>
      </c>
      <c r="Q42" s="32" t="s">
        <v>32</v>
      </c>
      <c r="R42" s="32" t="s">
        <v>765</v>
      </c>
      <c r="S42" s="49" t="s">
        <v>948</v>
      </c>
      <c r="T42" s="2" t="str">
        <f>VLOOKUP(S42,[1]Servicios!$B:$C,2,0)</f>
        <v>CIRUGÍA PLÁSTICA Y ESTÉTICA</v>
      </c>
      <c r="U42" s="2" t="s">
        <v>127</v>
      </c>
    </row>
    <row r="43" spans="1:21" ht="76.5" hidden="1" x14ac:dyDescent="0.25">
      <c r="A43" s="25" t="s">
        <v>33</v>
      </c>
      <c r="B43" s="26" t="s">
        <v>127</v>
      </c>
      <c r="C43" s="27" t="s">
        <v>443</v>
      </c>
      <c r="D43" s="28" t="s">
        <v>545</v>
      </c>
      <c r="E43" s="29" t="s">
        <v>135</v>
      </c>
      <c r="F43" s="29" t="s">
        <v>136</v>
      </c>
      <c r="G43" s="29" t="s">
        <v>137</v>
      </c>
      <c r="H43" s="29" t="s">
        <v>617</v>
      </c>
      <c r="I43" s="29" t="s">
        <v>138</v>
      </c>
      <c r="J43" s="30" t="s">
        <v>617</v>
      </c>
      <c r="K43" s="31" t="s">
        <v>133</v>
      </c>
      <c r="L43" s="27" t="s">
        <v>623</v>
      </c>
      <c r="M43" s="31" t="s">
        <v>19</v>
      </c>
      <c r="N43" s="30" t="s">
        <v>125</v>
      </c>
      <c r="O43" s="30" t="s">
        <v>139</v>
      </c>
      <c r="P43" s="30" t="s">
        <v>625</v>
      </c>
      <c r="Q43" s="32" t="s">
        <v>32</v>
      </c>
      <c r="R43" s="32" t="s">
        <v>765</v>
      </c>
      <c r="S43" s="49" t="s">
        <v>949</v>
      </c>
      <c r="T43" s="2" t="str">
        <f>VLOOKUP(S43,[1]Servicios!$B:$C,2,0)</f>
        <v>CIRUGÍA VASCULAR Y ANGIOLÓGICA</v>
      </c>
      <c r="U43" s="2" t="s">
        <v>127</v>
      </c>
    </row>
    <row r="44" spans="1:21" ht="76.5" hidden="1" x14ac:dyDescent="0.25">
      <c r="A44" s="25" t="s">
        <v>33</v>
      </c>
      <c r="B44" s="26" t="s">
        <v>127</v>
      </c>
      <c r="C44" s="27" t="s">
        <v>443</v>
      </c>
      <c r="D44" s="28" t="s">
        <v>546</v>
      </c>
      <c r="E44" s="29" t="s">
        <v>135</v>
      </c>
      <c r="F44" s="29" t="s">
        <v>136</v>
      </c>
      <c r="G44" s="29" t="s">
        <v>137</v>
      </c>
      <c r="H44" s="29" t="s">
        <v>617</v>
      </c>
      <c r="I44" s="29" t="s">
        <v>138</v>
      </c>
      <c r="J44" s="30" t="s">
        <v>617</v>
      </c>
      <c r="K44" s="31" t="s">
        <v>133</v>
      </c>
      <c r="L44" s="27" t="s">
        <v>623</v>
      </c>
      <c r="M44" s="31" t="s">
        <v>19</v>
      </c>
      <c r="N44" s="30" t="s">
        <v>125</v>
      </c>
      <c r="O44" s="30" t="s">
        <v>139</v>
      </c>
      <c r="P44" s="30" t="s">
        <v>625</v>
      </c>
      <c r="Q44" s="32" t="s">
        <v>32</v>
      </c>
      <c r="R44" s="32" t="s">
        <v>765</v>
      </c>
      <c r="S44" s="49" t="s">
        <v>950</v>
      </c>
      <c r="T44" s="2" t="str">
        <f>VLOOKUP(S44,[1]Servicios!$B:$C,2,0)</f>
        <v>CIRUGÍA UROLÓGICA</v>
      </c>
      <c r="U44" s="2" t="s">
        <v>127</v>
      </c>
    </row>
    <row r="45" spans="1:21" ht="76.5" hidden="1" x14ac:dyDescent="0.25">
      <c r="A45" s="25" t="s">
        <v>33</v>
      </c>
      <c r="B45" s="26" t="s">
        <v>127</v>
      </c>
      <c r="C45" s="27" t="s">
        <v>443</v>
      </c>
      <c r="D45" s="28" t="s">
        <v>547</v>
      </c>
      <c r="E45" s="29" t="s">
        <v>135</v>
      </c>
      <c r="F45" s="29" t="s">
        <v>136</v>
      </c>
      <c r="G45" s="29" t="s">
        <v>137</v>
      </c>
      <c r="H45" s="29" t="s">
        <v>617</v>
      </c>
      <c r="I45" s="29" t="s">
        <v>138</v>
      </c>
      <c r="J45" s="30" t="s">
        <v>617</v>
      </c>
      <c r="K45" s="31" t="s">
        <v>133</v>
      </c>
      <c r="L45" s="27" t="s">
        <v>623</v>
      </c>
      <c r="M45" s="31" t="s">
        <v>19</v>
      </c>
      <c r="N45" s="30" t="s">
        <v>125</v>
      </c>
      <c r="O45" s="30" t="s">
        <v>139</v>
      </c>
      <c r="P45" s="30" t="s">
        <v>625</v>
      </c>
      <c r="Q45" s="32" t="s">
        <v>32</v>
      </c>
      <c r="R45" s="32" t="s">
        <v>765</v>
      </c>
      <c r="S45" s="49" t="s">
        <v>494</v>
      </c>
      <c r="T45" s="2" t="str">
        <f>VLOOKUP(S45,[1]Servicios!$B:$C,2,0)</f>
        <v>CIRUGÍA ENDOVASCULAR NEUROLÓGICA</v>
      </c>
      <c r="U45" s="2" t="s">
        <v>380</v>
      </c>
    </row>
    <row r="46" spans="1:21" ht="76.5" hidden="1" x14ac:dyDescent="0.25">
      <c r="A46" s="25" t="s">
        <v>33</v>
      </c>
      <c r="B46" s="26" t="s">
        <v>127</v>
      </c>
      <c r="C46" s="27" t="s">
        <v>443</v>
      </c>
      <c r="D46" s="28" t="s">
        <v>548</v>
      </c>
      <c r="E46" s="29" t="s">
        <v>135</v>
      </c>
      <c r="F46" s="29" t="s">
        <v>136</v>
      </c>
      <c r="G46" s="29" t="s">
        <v>137</v>
      </c>
      <c r="H46" s="29" t="s">
        <v>617</v>
      </c>
      <c r="I46" s="29" t="s">
        <v>138</v>
      </c>
      <c r="J46" s="30" t="s">
        <v>617</v>
      </c>
      <c r="K46" s="31" t="s">
        <v>133</v>
      </c>
      <c r="L46" s="27" t="s">
        <v>623</v>
      </c>
      <c r="M46" s="31" t="s">
        <v>19</v>
      </c>
      <c r="N46" s="30" t="s">
        <v>125</v>
      </c>
      <c r="O46" s="30" t="s">
        <v>139</v>
      </c>
      <c r="P46" s="30" t="s">
        <v>625</v>
      </c>
      <c r="Q46" s="32" t="s">
        <v>32</v>
      </c>
      <c r="R46" s="32" t="s">
        <v>765</v>
      </c>
      <c r="S46" s="49" t="s">
        <v>951</v>
      </c>
      <c r="T46" s="2" t="str">
        <f>VLOOKUP(S46,[1]Servicios!$B:$C,2,0)</f>
        <v>CIRUGÍA DE LA MANO</v>
      </c>
      <c r="U46" s="2" t="s">
        <v>127</v>
      </c>
    </row>
    <row r="47" spans="1:21" ht="76.5" hidden="1" x14ac:dyDescent="0.25">
      <c r="A47" s="25" t="s">
        <v>33</v>
      </c>
      <c r="B47" s="26" t="s">
        <v>127</v>
      </c>
      <c r="C47" s="27" t="s">
        <v>443</v>
      </c>
      <c r="D47" s="28" t="s">
        <v>549</v>
      </c>
      <c r="E47" s="29" t="s">
        <v>135</v>
      </c>
      <c r="F47" s="29" t="s">
        <v>136</v>
      </c>
      <c r="G47" s="29" t="s">
        <v>137</v>
      </c>
      <c r="H47" s="29" t="s">
        <v>617</v>
      </c>
      <c r="I47" s="29" t="s">
        <v>138</v>
      </c>
      <c r="J47" s="30" t="s">
        <v>617</v>
      </c>
      <c r="K47" s="31" t="s">
        <v>133</v>
      </c>
      <c r="L47" s="27" t="s">
        <v>623</v>
      </c>
      <c r="M47" s="31" t="s">
        <v>19</v>
      </c>
      <c r="N47" s="30" t="s">
        <v>125</v>
      </c>
      <c r="O47" s="30" t="s">
        <v>139</v>
      </c>
      <c r="P47" s="30" t="s">
        <v>625</v>
      </c>
      <c r="Q47" s="32" t="s">
        <v>32</v>
      </c>
      <c r="R47" s="32" t="s">
        <v>765</v>
      </c>
      <c r="S47" s="49" t="s">
        <v>952</v>
      </c>
      <c r="T47" s="2" t="str">
        <f>VLOOKUP(S47,[1]Servicios!$B:$C,2,0)</f>
        <v>CIRUGÍA DERMATOLÓGICA</v>
      </c>
      <c r="U47" s="2" t="s">
        <v>127</v>
      </c>
    </row>
    <row r="48" spans="1:21" ht="76.5" hidden="1" x14ac:dyDescent="0.25">
      <c r="A48" s="25" t="s">
        <v>33</v>
      </c>
      <c r="B48" s="26" t="s">
        <v>127</v>
      </c>
      <c r="C48" s="27" t="s">
        <v>443</v>
      </c>
      <c r="D48" s="28" t="s">
        <v>550</v>
      </c>
      <c r="E48" s="29" t="s">
        <v>135</v>
      </c>
      <c r="F48" s="29" t="s">
        <v>136</v>
      </c>
      <c r="G48" s="29" t="s">
        <v>137</v>
      </c>
      <c r="H48" s="29" t="s">
        <v>617</v>
      </c>
      <c r="I48" s="29" t="s">
        <v>138</v>
      </c>
      <c r="J48" s="30" t="s">
        <v>617</v>
      </c>
      <c r="K48" s="31" t="s">
        <v>133</v>
      </c>
      <c r="L48" s="27" t="s">
        <v>623</v>
      </c>
      <c r="M48" s="31" t="s">
        <v>19</v>
      </c>
      <c r="N48" s="30" t="s">
        <v>125</v>
      </c>
      <c r="O48" s="30" t="s">
        <v>139</v>
      </c>
      <c r="P48" s="30" t="s">
        <v>625</v>
      </c>
      <c r="Q48" s="32" t="s">
        <v>32</v>
      </c>
      <c r="R48" s="32" t="s">
        <v>765</v>
      </c>
      <c r="S48" s="49" t="s">
        <v>953</v>
      </c>
      <c r="T48" s="2" t="str">
        <f>VLOOKUP(S48,[1]Servicios!$B:$C,2,0)</f>
        <v>CIRUGÍA DE TÓRAX</v>
      </c>
      <c r="U48" s="2" t="s">
        <v>127</v>
      </c>
    </row>
    <row r="49" spans="1:21" ht="76.5" hidden="1" x14ac:dyDescent="0.25">
      <c r="A49" s="25" t="s">
        <v>33</v>
      </c>
      <c r="B49" s="26" t="s">
        <v>127</v>
      </c>
      <c r="C49" s="27" t="s">
        <v>443</v>
      </c>
      <c r="D49" s="28" t="s">
        <v>551</v>
      </c>
      <c r="E49" s="29" t="s">
        <v>135</v>
      </c>
      <c r="F49" s="29" t="s">
        <v>136</v>
      </c>
      <c r="G49" s="29" t="s">
        <v>137</v>
      </c>
      <c r="H49" s="29" t="s">
        <v>617</v>
      </c>
      <c r="I49" s="29" t="s">
        <v>138</v>
      </c>
      <c r="J49" s="30" t="s">
        <v>617</v>
      </c>
      <c r="K49" s="31" t="s">
        <v>133</v>
      </c>
      <c r="L49" s="27" t="s">
        <v>623</v>
      </c>
      <c r="M49" s="31" t="s">
        <v>19</v>
      </c>
      <c r="N49" s="30" t="s">
        <v>125</v>
      </c>
      <c r="O49" s="30" t="s">
        <v>139</v>
      </c>
      <c r="P49" s="30" t="s">
        <v>625</v>
      </c>
      <c r="Q49" s="32" t="s">
        <v>32</v>
      </c>
      <c r="R49" s="32" t="s">
        <v>765</v>
      </c>
      <c r="S49" s="49" t="s">
        <v>500</v>
      </c>
      <c r="T49" s="2" t="str">
        <f>VLOOKUP(S49,[1]Servicios!$B:$C,2,0)</f>
        <v>CIRUGÍA GASTROINTESTINAL</v>
      </c>
      <c r="U49" s="2" t="s">
        <v>415</v>
      </c>
    </row>
    <row r="50" spans="1:21" ht="76.5" hidden="1" x14ac:dyDescent="0.25">
      <c r="A50" s="25" t="s">
        <v>33</v>
      </c>
      <c r="B50" s="26" t="s">
        <v>127</v>
      </c>
      <c r="C50" s="27" t="s">
        <v>443</v>
      </c>
      <c r="D50" s="28" t="s">
        <v>552</v>
      </c>
      <c r="E50" s="29" t="s">
        <v>135</v>
      </c>
      <c r="F50" s="29" t="s">
        <v>136</v>
      </c>
      <c r="G50" s="29" t="s">
        <v>137</v>
      </c>
      <c r="H50" s="29" t="s">
        <v>617</v>
      </c>
      <c r="I50" s="29" t="s">
        <v>138</v>
      </c>
      <c r="J50" s="30" t="s">
        <v>617</v>
      </c>
      <c r="K50" s="31" t="s">
        <v>133</v>
      </c>
      <c r="L50" s="27" t="s">
        <v>623</v>
      </c>
      <c r="M50" s="31" t="s">
        <v>19</v>
      </c>
      <c r="N50" s="30" t="s">
        <v>125</v>
      </c>
      <c r="O50" s="30" t="s">
        <v>139</v>
      </c>
      <c r="P50" s="30" t="s">
        <v>625</v>
      </c>
      <c r="Q50" s="32" t="s">
        <v>32</v>
      </c>
      <c r="R50" s="32" t="s">
        <v>765</v>
      </c>
      <c r="S50" s="49" t="s">
        <v>954</v>
      </c>
      <c r="T50" s="2" t="str">
        <f>VLOOKUP(S50,[1]Servicios!$B:$C,2,0)</f>
        <v>NEUROCIRUGÍA</v>
      </c>
      <c r="U50" s="2" t="s">
        <v>127</v>
      </c>
    </row>
    <row r="51" spans="1:21" ht="98.1" hidden="1" customHeight="1" x14ac:dyDescent="0.25">
      <c r="A51" s="25" t="s">
        <v>66</v>
      </c>
      <c r="B51" s="26" t="s">
        <v>140</v>
      </c>
      <c r="C51" s="27" t="s">
        <v>444</v>
      </c>
      <c r="D51" s="28" t="s">
        <v>553</v>
      </c>
      <c r="E51" s="29" t="s">
        <v>141</v>
      </c>
      <c r="F51" s="29" t="s">
        <v>142</v>
      </c>
      <c r="G51" s="29" t="s">
        <v>143</v>
      </c>
      <c r="H51" s="29" t="s">
        <v>617</v>
      </c>
      <c r="I51" s="29" t="s">
        <v>144</v>
      </c>
      <c r="J51" s="30" t="s">
        <v>617</v>
      </c>
      <c r="K51" s="31" t="s">
        <v>18</v>
      </c>
      <c r="L51" s="31" t="s">
        <v>884</v>
      </c>
      <c r="M51" s="31" t="s">
        <v>19</v>
      </c>
      <c r="N51" s="30" t="s">
        <v>145</v>
      </c>
      <c r="O51" s="30" t="s">
        <v>146</v>
      </c>
      <c r="P51" s="30" t="s">
        <v>625</v>
      </c>
      <c r="Q51" s="32" t="s">
        <v>32</v>
      </c>
      <c r="R51" s="32" t="s">
        <v>765</v>
      </c>
      <c r="S51" s="49" t="s">
        <v>452</v>
      </c>
      <c r="T51" s="2" t="str">
        <f>VLOOKUP(S51,[1]Servicios!$B:$C,2,0)</f>
        <v>MEDICINA GENERAL</v>
      </c>
      <c r="U51" s="2" t="s">
        <v>970</v>
      </c>
    </row>
    <row r="52" spans="1:21" ht="63.75" hidden="1" x14ac:dyDescent="0.25">
      <c r="A52" s="25" t="s">
        <v>66</v>
      </c>
      <c r="B52" s="26" t="s">
        <v>147</v>
      </c>
      <c r="C52" s="27" t="s">
        <v>445</v>
      </c>
      <c r="D52" s="28" t="s">
        <v>554</v>
      </c>
      <c r="E52" s="29" t="s">
        <v>148</v>
      </c>
      <c r="F52" s="29" t="s">
        <v>149</v>
      </c>
      <c r="G52" s="29" t="s">
        <v>150</v>
      </c>
      <c r="H52" s="29" t="s">
        <v>617</v>
      </c>
      <c r="I52" s="29" t="s">
        <v>151</v>
      </c>
      <c r="J52" s="30" t="s">
        <v>617</v>
      </c>
      <c r="K52" s="31" t="s">
        <v>18</v>
      </c>
      <c r="L52" s="31" t="s">
        <v>885</v>
      </c>
      <c r="M52" s="31" t="s">
        <v>19</v>
      </c>
      <c r="N52" s="30" t="s">
        <v>145</v>
      </c>
      <c r="O52" s="30" t="s">
        <v>152</v>
      </c>
      <c r="P52" s="30" t="s">
        <v>625</v>
      </c>
      <c r="Q52" s="32" t="s">
        <v>32</v>
      </c>
      <c r="R52" s="32" t="s">
        <v>765</v>
      </c>
      <c r="S52" s="49" t="s">
        <v>453</v>
      </c>
      <c r="T52" s="2" t="str">
        <f>VLOOKUP(S52,[1]Servicios!$B:$C,2,0)</f>
        <v>ODONTOLOGÍA GENERAL</v>
      </c>
      <c r="U52" s="2" t="s">
        <v>147</v>
      </c>
    </row>
    <row r="53" spans="1:21" ht="63.75" hidden="1" x14ac:dyDescent="0.25">
      <c r="A53" s="25" t="s">
        <v>66</v>
      </c>
      <c r="B53" s="26" t="s">
        <v>153</v>
      </c>
      <c r="C53" s="27" t="s">
        <v>446</v>
      </c>
      <c r="D53" s="28" t="s">
        <v>555</v>
      </c>
      <c r="E53" s="29" t="s">
        <v>154</v>
      </c>
      <c r="F53" s="29" t="s">
        <v>295</v>
      </c>
      <c r="G53" s="29" t="s">
        <v>155</v>
      </c>
      <c r="H53" s="29" t="s">
        <v>617</v>
      </c>
      <c r="I53" s="29" t="s">
        <v>156</v>
      </c>
      <c r="J53" s="30" t="s">
        <v>617</v>
      </c>
      <c r="K53" s="31" t="s">
        <v>18</v>
      </c>
      <c r="L53" s="31" t="s">
        <v>620</v>
      </c>
      <c r="M53" s="31" t="s">
        <v>19</v>
      </c>
      <c r="N53" s="30" t="s">
        <v>145</v>
      </c>
      <c r="O53" s="30" t="s">
        <v>152</v>
      </c>
      <c r="P53" s="30" t="s">
        <v>625</v>
      </c>
      <c r="Q53" s="32" t="s">
        <v>32</v>
      </c>
      <c r="R53" s="32" t="s">
        <v>765</v>
      </c>
      <c r="S53" s="49" t="s">
        <v>955</v>
      </c>
      <c r="T53" s="2" t="str">
        <f>VLOOKUP(S53,[1]Servicios!$B:$C,2,0)</f>
        <v>MEDICINA INTERNA</v>
      </c>
      <c r="U53" s="2" t="s">
        <v>153</v>
      </c>
    </row>
    <row r="54" spans="1:21" ht="63.75" hidden="1" x14ac:dyDescent="0.25">
      <c r="A54" s="25" t="s">
        <v>66</v>
      </c>
      <c r="B54" s="26" t="s">
        <v>187</v>
      </c>
      <c r="C54" s="27" t="s">
        <v>446</v>
      </c>
      <c r="D54" s="28" t="s">
        <v>556</v>
      </c>
      <c r="E54" s="29" t="s">
        <v>188</v>
      </c>
      <c r="F54" s="29" t="s">
        <v>296</v>
      </c>
      <c r="G54" s="29" t="s">
        <v>189</v>
      </c>
      <c r="H54" s="29" t="s">
        <v>617</v>
      </c>
      <c r="I54" s="29" t="s">
        <v>190</v>
      </c>
      <c r="J54" s="30" t="s">
        <v>617</v>
      </c>
      <c r="K54" s="31" t="s">
        <v>18</v>
      </c>
      <c r="L54" s="31" t="s">
        <v>624</v>
      </c>
      <c r="M54" s="31" t="s">
        <v>19</v>
      </c>
      <c r="N54" s="30" t="s">
        <v>145</v>
      </c>
      <c r="O54" s="30" t="s">
        <v>152</v>
      </c>
      <c r="P54" s="30" t="s">
        <v>625</v>
      </c>
      <c r="Q54" s="32" t="s">
        <v>32</v>
      </c>
      <c r="R54" s="32" t="s">
        <v>765</v>
      </c>
      <c r="S54" s="49" t="s">
        <v>456</v>
      </c>
      <c r="T54" s="2" t="str">
        <f>VLOOKUP(S54,[1]Servicios!$B:$C,2,0)</f>
        <v>CARDIOLOGÍA</v>
      </c>
      <c r="U54" s="2" t="s">
        <v>187</v>
      </c>
    </row>
    <row r="55" spans="1:21" ht="63.75" hidden="1" x14ac:dyDescent="0.25">
      <c r="A55" s="25" t="s">
        <v>66</v>
      </c>
      <c r="B55" s="26" t="s">
        <v>191</v>
      </c>
      <c r="C55" s="27" t="s">
        <v>446</v>
      </c>
      <c r="D55" s="28" t="s">
        <v>557</v>
      </c>
      <c r="E55" s="29" t="s">
        <v>192</v>
      </c>
      <c r="F55" s="29" t="s">
        <v>297</v>
      </c>
      <c r="G55" s="29" t="s">
        <v>193</v>
      </c>
      <c r="H55" s="29" t="s">
        <v>617</v>
      </c>
      <c r="I55" s="29" t="s">
        <v>194</v>
      </c>
      <c r="J55" s="30" t="s">
        <v>617</v>
      </c>
      <c r="K55" s="31" t="s">
        <v>18</v>
      </c>
      <c r="L55" s="31" t="s">
        <v>624</v>
      </c>
      <c r="M55" s="31" t="s">
        <v>19</v>
      </c>
      <c r="N55" s="30" t="s">
        <v>145</v>
      </c>
      <c r="O55" s="30" t="s">
        <v>152</v>
      </c>
      <c r="P55" s="30" t="s">
        <v>625</v>
      </c>
      <c r="Q55" s="32" t="s">
        <v>32</v>
      </c>
      <c r="R55" s="32" t="s">
        <v>765</v>
      </c>
      <c r="S55" s="49" t="s">
        <v>457</v>
      </c>
      <c r="T55" s="2" t="str">
        <f>VLOOKUP(S55,[1]Servicios!$B:$C,2,0)</f>
        <v xml:space="preserve">GASTROENTEROLOGÍA </v>
      </c>
      <c r="U55" s="2" t="s">
        <v>191</v>
      </c>
    </row>
    <row r="56" spans="1:21" ht="63.75" hidden="1" x14ac:dyDescent="0.25">
      <c r="A56" s="25" t="s">
        <v>66</v>
      </c>
      <c r="B56" s="26" t="s">
        <v>195</v>
      </c>
      <c r="C56" s="27" t="s">
        <v>446</v>
      </c>
      <c r="D56" s="28" t="s">
        <v>558</v>
      </c>
      <c r="E56" s="29" t="s">
        <v>196</v>
      </c>
      <c r="F56" s="29" t="s">
        <v>298</v>
      </c>
      <c r="G56" s="29" t="s">
        <v>197</v>
      </c>
      <c r="H56" s="29" t="s">
        <v>617</v>
      </c>
      <c r="I56" s="29" t="s">
        <v>198</v>
      </c>
      <c r="J56" s="30" t="s">
        <v>617</v>
      </c>
      <c r="K56" s="31" t="s">
        <v>18</v>
      </c>
      <c r="L56" s="31" t="s">
        <v>624</v>
      </c>
      <c r="M56" s="31" t="s">
        <v>19</v>
      </c>
      <c r="N56" s="30" t="s">
        <v>145</v>
      </c>
      <c r="O56" s="30" t="s">
        <v>152</v>
      </c>
      <c r="P56" s="30" t="s">
        <v>625</v>
      </c>
      <c r="Q56" s="32" t="s">
        <v>32</v>
      </c>
      <c r="R56" s="32" t="s">
        <v>765</v>
      </c>
      <c r="S56" s="49" t="s">
        <v>458</v>
      </c>
      <c r="T56" s="2" t="str">
        <f>VLOOKUP(S56,[1]Servicios!$B:$C,2,0)</f>
        <v>NEFROLOGÍA</v>
      </c>
      <c r="U56" s="2" t="s">
        <v>195</v>
      </c>
    </row>
    <row r="57" spans="1:21" ht="63.75" hidden="1" x14ac:dyDescent="0.25">
      <c r="A57" s="25" t="s">
        <v>66</v>
      </c>
      <c r="B57" s="26" t="s">
        <v>199</v>
      </c>
      <c r="C57" s="27" t="s">
        <v>446</v>
      </c>
      <c r="D57" s="28" t="s">
        <v>559</v>
      </c>
      <c r="E57" s="29" t="s">
        <v>200</v>
      </c>
      <c r="F57" s="29" t="s">
        <v>299</v>
      </c>
      <c r="G57" s="29" t="s">
        <v>201</v>
      </c>
      <c r="H57" s="29" t="s">
        <v>617</v>
      </c>
      <c r="I57" s="29" t="s">
        <v>202</v>
      </c>
      <c r="J57" s="30" t="s">
        <v>617</v>
      </c>
      <c r="K57" s="31" t="s">
        <v>18</v>
      </c>
      <c r="L57" s="31" t="s">
        <v>624</v>
      </c>
      <c r="M57" s="31" t="s">
        <v>19</v>
      </c>
      <c r="N57" s="30" t="s">
        <v>145</v>
      </c>
      <c r="O57" s="30" t="s">
        <v>152</v>
      </c>
      <c r="P57" s="30" t="s">
        <v>625</v>
      </c>
      <c r="Q57" s="32" t="s">
        <v>32</v>
      </c>
      <c r="R57" s="32" t="s">
        <v>765</v>
      </c>
      <c r="S57" s="49" t="s">
        <v>459</v>
      </c>
      <c r="T57" s="2" t="str">
        <f>VLOOKUP(S57,[1]Servicios!$B:$C,2,0)</f>
        <v>NUTRICIÓN Y DIETÉTICA</v>
      </c>
      <c r="U57" s="2" t="s">
        <v>199</v>
      </c>
    </row>
    <row r="58" spans="1:21" ht="63.75" hidden="1" x14ac:dyDescent="0.25">
      <c r="A58" s="25" t="s">
        <v>66</v>
      </c>
      <c r="B58" s="26" t="s">
        <v>203</v>
      </c>
      <c r="C58" s="27" t="s">
        <v>446</v>
      </c>
      <c r="D58" s="28" t="s">
        <v>560</v>
      </c>
      <c r="E58" s="29" t="s">
        <v>204</v>
      </c>
      <c r="F58" s="29" t="s">
        <v>300</v>
      </c>
      <c r="G58" s="29" t="s">
        <v>205</v>
      </c>
      <c r="H58" s="29" t="s">
        <v>617</v>
      </c>
      <c r="I58" s="29" t="s">
        <v>206</v>
      </c>
      <c r="J58" s="30" t="s">
        <v>617</v>
      </c>
      <c r="K58" s="31" t="s">
        <v>18</v>
      </c>
      <c r="L58" s="31" t="s">
        <v>624</v>
      </c>
      <c r="M58" s="31" t="s">
        <v>19</v>
      </c>
      <c r="N58" s="30" t="s">
        <v>145</v>
      </c>
      <c r="O58" s="30" t="s">
        <v>152</v>
      </c>
      <c r="P58" s="30" t="s">
        <v>625</v>
      </c>
      <c r="Q58" s="32" t="s">
        <v>32</v>
      </c>
      <c r="R58" s="32" t="s">
        <v>765</v>
      </c>
      <c r="S58" s="49" t="s">
        <v>460</v>
      </c>
      <c r="T58" s="2" t="str">
        <f>VLOOKUP(S58,[1]Servicios!$B:$C,2,0)</f>
        <v>PSICOLOGÍA</v>
      </c>
      <c r="U58" s="2" t="s">
        <v>203</v>
      </c>
    </row>
    <row r="59" spans="1:21" ht="63.75" hidden="1" x14ac:dyDescent="0.25">
      <c r="A59" s="25" t="s">
        <v>66</v>
      </c>
      <c r="B59" s="26" t="s">
        <v>207</v>
      </c>
      <c r="C59" s="27" t="s">
        <v>446</v>
      </c>
      <c r="D59" s="28" t="s">
        <v>561</v>
      </c>
      <c r="E59" s="29" t="s">
        <v>208</v>
      </c>
      <c r="F59" s="29" t="s">
        <v>301</v>
      </c>
      <c r="G59" s="29" t="s">
        <v>209</v>
      </c>
      <c r="H59" s="29" t="s">
        <v>617</v>
      </c>
      <c r="I59" s="29" t="s">
        <v>210</v>
      </c>
      <c r="J59" s="30" t="s">
        <v>617</v>
      </c>
      <c r="K59" s="31" t="s">
        <v>18</v>
      </c>
      <c r="L59" s="31" t="s">
        <v>624</v>
      </c>
      <c r="M59" s="31" t="s">
        <v>19</v>
      </c>
      <c r="N59" s="30" t="s">
        <v>145</v>
      </c>
      <c r="O59" s="30" t="s">
        <v>152</v>
      </c>
      <c r="P59" s="30" t="s">
        <v>625</v>
      </c>
      <c r="Q59" s="32" t="s">
        <v>32</v>
      </c>
      <c r="R59" s="32" t="s">
        <v>765</v>
      </c>
      <c r="S59" s="49" t="s">
        <v>461</v>
      </c>
      <c r="T59" s="2" t="str">
        <f>VLOOKUP(S59,[1]Servicios!$B:$C,2,0)</f>
        <v>UROLOGÍA</v>
      </c>
      <c r="U59" s="2" t="s">
        <v>207</v>
      </c>
    </row>
    <row r="60" spans="1:21" ht="63.75" hidden="1" x14ac:dyDescent="0.25">
      <c r="A60" s="25" t="s">
        <v>66</v>
      </c>
      <c r="B60" s="26" t="s">
        <v>211</v>
      </c>
      <c r="C60" s="27" t="s">
        <v>446</v>
      </c>
      <c r="D60" s="28" t="s">
        <v>562</v>
      </c>
      <c r="E60" s="29" t="s">
        <v>212</v>
      </c>
      <c r="F60" s="29" t="s">
        <v>302</v>
      </c>
      <c r="G60" s="29" t="s">
        <v>213</v>
      </c>
      <c r="H60" s="29" t="s">
        <v>617</v>
      </c>
      <c r="I60" s="29" t="s">
        <v>214</v>
      </c>
      <c r="J60" s="30" t="s">
        <v>617</v>
      </c>
      <c r="K60" s="31" t="s">
        <v>18</v>
      </c>
      <c r="L60" s="31" t="s">
        <v>624</v>
      </c>
      <c r="M60" s="31" t="s">
        <v>19</v>
      </c>
      <c r="N60" s="30" t="s">
        <v>145</v>
      </c>
      <c r="O60" s="30" t="s">
        <v>152</v>
      </c>
      <c r="P60" s="30" t="s">
        <v>625</v>
      </c>
      <c r="Q60" s="32" t="s">
        <v>32</v>
      </c>
      <c r="R60" s="32" t="s">
        <v>765</v>
      </c>
      <c r="S60" s="49" t="s">
        <v>462</v>
      </c>
      <c r="T60" s="2" t="str">
        <f>VLOOKUP(S60,[1]Servicios!$B:$C,2,0)</f>
        <v>CIRUGÍA VASCULAR</v>
      </c>
      <c r="U60" s="2" t="s">
        <v>211</v>
      </c>
    </row>
    <row r="61" spans="1:21" ht="63.75" hidden="1" x14ac:dyDescent="0.25">
      <c r="A61" s="25" t="s">
        <v>66</v>
      </c>
      <c r="B61" s="26" t="s">
        <v>215</v>
      </c>
      <c r="C61" s="27" t="s">
        <v>446</v>
      </c>
      <c r="D61" s="28" t="s">
        <v>563</v>
      </c>
      <c r="E61" s="29" t="s">
        <v>216</v>
      </c>
      <c r="F61" s="29" t="s">
        <v>303</v>
      </c>
      <c r="G61" s="29" t="s">
        <v>217</v>
      </c>
      <c r="H61" s="29" t="s">
        <v>617</v>
      </c>
      <c r="I61" s="29" t="s">
        <v>218</v>
      </c>
      <c r="J61" s="30" t="s">
        <v>617</v>
      </c>
      <c r="K61" s="31" t="s">
        <v>18</v>
      </c>
      <c r="L61" s="31" t="s">
        <v>624</v>
      </c>
      <c r="M61" s="31" t="s">
        <v>19</v>
      </c>
      <c r="N61" s="30" t="s">
        <v>145</v>
      </c>
      <c r="O61" s="30" t="s">
        <v>152</v>
      </c>
      <c r="P61" s="30" t="s">
        <v>625</v>
      </c>
      <c r="Q61" s="32" t="s">
        <v>32</v>
      </c>
      <c r="R61" s="32" t="s">
        <v>765</v>
      </c>
      <c r="S61" s="49" t="s">
        <v>463</v>
      </c>
      <c r="T61" s="2" t="str">
        <f>VLOOKUP(S61,[1]Servicios!$B:$C,2,0)</f>
        <v>DERMATOLOGÍA</v>
      </c>
      <c r="U61" s="2" t="s">
        <v>215</v>
      </c>
    </row>
    <row r="62" spans="1:21" ht="63.75" hidden="1" x14ac:dyDescent="0.25">
      <c r="A62" s="25" t="s">
        <v>66</v>
      </c>
      <c r="B62" s="26" t="s">
        <v>220</v>
      </c>
      <c r="C62" s="27" t="s">
        <v>446</v>
      </c>
      <c r="D62" s="28" t="s">
        <v>564</v>
      </c>
      <c r="E62" s="29" t="s">
        <v>221</v>
      </c>
      <c r="F62" s="29" t="s">
        <v>304</v>
      </c>
      <c r="G62" s="29" t="s">
        <v>222</v>
      </c>
      <c r="H62" s="29" t="s">
        <v>617</v>
      </c>
      <c r="I62" s="29" t="s">
        <v>223</v>
      </c>
      <c r="J62" s="30" t="s">
        <v>617</v>
      </c>
      <c r="K62" s="31" t="s">
        <v>18</v>
      </c>
      <c r="L62" s="31" t="s">
        <v>624</v>
      </c>
      <c r="M62" s="31" t="s">
        <v>19</v>
      </c>
      <c r="N62" s="30" t="s">
        <v>145</v>
      </c>
      <c r="O62" s="30" t="s">
        <v>152</v>
      </c>
      <c r="P62" s="30" t="s">
        <v>625</v>
      </c>
      <c r="Q62" s="32" t="s">
        <v>32</v>
      </c>
      <c r="R62" s="32" t="s">
        <v>765</v>
      </c>
      <c r="S62" s="49" t="s">
        <v>464</v>
      </c>
      <c r="T62" s="2" t="str">
        <f>VLOOKUP(S62,[1]Servicios!$B:$C,2,0)</f>
        <v>MEDICINA FÍSICA Y REHABILITACIÓN</v>
      </c>
      <c r="U62" s="2" t="s">
        <v>220</v>
      </c>
    </row>
    <row r="63" spans="1:21" ht="63.75" hidden="1" x14ac:dyDescent="0.25">
      <c r="A63" s="25" t="s">
        <v>66</v>
      </c>
      <c r="B63" s="26" t="s">
        <v>224</v>
      </c>
      <c r="C63" s="27" t="s">
        <v>446</v>
      </c>
      <c r="D63" s="28" t="s">
        <v>565</v>
      </c>
      <c r="E63" s="29" t="s">
        <v>225</v>
      </c>
      <c r="F63" s="29" t="s">
        <v>305</v>
      </c>
      <c r="G63" s="29" t="s">
        <v>226</v>
      </c>
      <c r="H63" s="29" t="s">
        <v>617</v>
      </c>
      <c r="I63" s="29" t="s">
        <v>227</v>
      </c>
      <c r="J63" s="30" t="s">
        <v>617</v>
      </c>
      <c r="K63" s="31" t="s">
        <v>18</v>
      </c>
      <c r="L63" s="31" t="s">
        <v>624</v>
      </c>
      <c r="M63" s="31" t="s">
        <v>19</v>
      </c>
      <c r="N63" s="30" t="s">
        <v>145</v>
      </c>
      <c r="O63" s="30" t="s">
        <v>152</v>
      </c>
      <c r="P63" s="30" t="s">
        <v>625</v>
      </c>
      <c r="Q63" s="32" t="s">
        <v>32</v>
      </c>
      <c r="R63" s="32" t="s">
        <v>765</v>
      </c>
      <c r="S63" s="49" t="s">
        <v>466</v>
      </c>
      <c r="T63" s="2" t="str">
        <f>VLOOKUP(S63,[1]Servicios!$B:$C,2,0)</f>
        <v>NEUROLOGÍA</v>
      </c>
      <c r="U63" s="2" t="s">
        <v>224</v>
      </c>
    </row>
    <row r="64" spans="1:21" ht="63.75" hidden="1" x14ac:dyDescent="0.25">
      <c r="A64" s="25" t="s">
        <v>66</v>
      </c>
      <c r="B64" s="26" t="s">
        <v>228</v>
      </c>
      <c r="C64" s="27" t="s">
        <v>446</v>
      </c>
      <c r="D64" s="28" t="s">
        <v>566</v>
      </c>
      <c r="E64" s="29" t="s">
        <v>229</v>
      </c>
      <c r="F64" s="29" t="s">
        <v>306</v>
      </c>
      <c r="G64" s="29" t="s">
        <v>230</v>
      </c>
      <c r="H64" s="29" t="s">
        <v>617</v>
      </c>
      <c r="I64" s="29" t="s">
        <v>231</v>
      </c>
      <c r="J64" s="30" t="s">
        <v>617</v>
      </c>
      <c r="K64" s="31" t="s">
        <v>18</v>
      </c>
      <c r="L64" s="31" t="s">
        <v>624</v>
      </c>
      <c r="M64" s="31" t="s">
        <v>19</v>
      </c>
      <c r="N64" s="30" t="s">
        <v>145</v>
      </c>
      <c r="O64" s="30" t="s">
        <v>152</v>
      </c>
      <c r="P64" s="30" t="s">
        <v>625</v>
      </c>
      <c r="Q64" s="32" t="s">
        <v>32</v>
      </c>
      <c r="R64" s="32" t="s">
        <v>765</v>
      </c>
      <c r="S64" s="49" t="s">
        <v>467</v>
      </c>
      <c r="T64" s="2" t="str">
        <f>VLOOKUP(S64,[1]Servicios!$B:$C,2,0)</f>
        <v>ORTOPEDIA Y/O TRAUMATOLOGÍA</v>
      </c>
      <c r="U64" s="2" t="s">
        <v>228</v>
      </c>
    </row>
    <row r="65" spans="1:21" ht="63.75" hidden="1" x14ac:dyDescent="0.25">
      <c r="A65" s="25" t="s">
        <v>66</v>
      </c>
      <c r="B65" s="26" t="s">
        <v>232</v>
      </c>
      <c r="C65" s="27" t="s">
        <v>446</v>
      </c>
      <c r="D65" s="28" t="s">
        <v>567</v>
      </c>
      <c r="E65" s="29" t="s">
        <v>233</v>
      </c>
      <c r="F65" s="29" t="s">
        <v>307</v>
      </c>
      <c r="G65" s="29" t="s">
        <v>234</v>
      </c>
      <c r="H65" s="29" t="s">
        <v>617</v>
      </c>
      <c r="I65" s="29" t="s">
        <v>235</v>
      </c>
      <c r="J65" s="30" t="s">
        <v>617</v>
      </c>
      <c r="K65" s="31" t="s">
        <v>18</v>
      </c>
      <c r="L65" s="31" t="s">
        <v>624</v>
      </c>
      <c r="M65" s="31" t="s">
        <v>19</v>
      </c>
      <c r="N65" s="30" t="s">
        <v>145</v>
      </c>
      <c r="O65" s="30" t="s">
        <v>152</v>
      </c>
      <c r="P65" s="30" t="s">
        <v>625</v>
      </c>
      <c r="Q65" s="32" t="s">
        <v>32</v>
      </c>
      <c r="R65" s="32" t="s">
        <v>765</v>
      </c>
      <c r="S65" s="49" t="s">
        <v>468</v>
      </c>
      <c r="T65" s="2" t="str">
        <f>VLOOKUP(S65,[1]Servicios!$B:$C,2,0)</f>
        <v>ANESTESIA</v>
      </c>
      <c r="U65" s="2" t="s">
        <v>232</v>
      </c>
    </row>
    <row r="66" spans="1:21" ht="76.5" hidden="1" x14ac:dyDescent="0.25">
      <c r="A66" s="25" t="s">
        <v>66</v>
      </c>
      <c r="B66" s="26" t="s">
        <v>236</v>
      </c>
      <c r="C66" s="27" t="s">
        <v>446</v>
      </c>
      <c r="D66" s="28" t="s">
        <v>568</v>
      </c>
      <c r="E66" s="29" t="s">
        <v>237</v>
      </c>
      <c r="F66" s="29" t="s">
        <v>308</v>
      </c>
      <c r="G66" s="29" t="s">
        <v>238</v>
      </c>
      <c r="H66" s="29" t="s">
        <v>617</v>
      </c>
      <c r="I66" s="29" t="s">
        <v>239</v>
      </c>
      <c r="J66" s="30" t="s">
        <v>617</v>
      </c>
      <c r="K66" s="31" t="s">
        <v>18</v>
      </c>
      <c r="L66" s="31" t="s">
        <v>624</v>
      </c>
      <c r="M66" s="31" t="s">
        <v>19</v>
      </c>
      <c r="N66" s="30" t="s">
        <v>145</v>
      </c>
      <c r="O66" s="30" t="s">
        <v>152</v>
      </c>
      <c r="P66" s="30" t="s">
        <v>625</v>
      </c>
      <c r="Q66" s="32" t="s">
        <v>32</v>
      </c>
      <c r="R66" s="32" t="s">
        <v>765</v>
      </c>
      <c r="S66" s="49" t="s">
        <v>469</v>
      </c>
      <c r="T66" s="2" t="str">
        <f>VLOOKUP(S66,[1]Servicios!$B:$C,2,0)</f>
        <v>OTORRINOLARINGOLOGÍA</v>
      </c>
      <c r="U66" s="2" t="s">
        <v>236</v>
      </c>
    </row>
    <row r="67" spans="1:21" ht="63.75" hidden="1" x14ac:dyDescent="0.25">
      <c r="A67" s="25" t="s">
        <v>66</v>
      </c>
      <c r="B67" s="26" t="s">
        <v>240</v>
      </c>
      <c r="C67" s="27" t="s">
        <v>446</v>
      </c>
      <c r="D67" s="28" t="s">
        <v>569</v>
      </c>
      <c r="E67" s="29" t="s">
        <v>241</v>
      </c>
      <c r="F67" s="29" t="s">
        <v>309</v>
      </c>
      <c r="G67" s="29" t="s">
        <v>242</v>
      </c>
      <c r="H67" s="29" t="s">
        <v>617</v>
      </c>
      <c r="I67" s="29" t="s">
        <v>246</v>
      </c>
      <c r="J67" s="30" t="s">
        <v>617</v>
      </c>
      <c r="K67" s="31" t="s">
        <v>18</v>
      </c>
      <c r="L67" s="31" t="s">
        <v>624</v>
      </c>
      <c r="M67" s="31" t="s">
        <v>19</v>
      </c>
      <c r="N67" s="30" t="s">
        <v>145</v>
      </c>
      <c r="O67" s="30" t="s">
        <v>152</v>
      </c>
      <c r="P67" s="30" t="s">
        <v>625</v>
      </c>
      <c r="Q67" s="32" t="s">
        <v>32</v>
      </c>
      <c r="R67" s="32" t="s">
        <v>765</v>
      </c>
      <c r="S67" s="49" t="s">
        <v>470</v>
      </c>
      <c r="T67" s="2" t="str">
        <f>VLOOKUP(S67,[1]Servicios!$B:$C,2,0)</f>
        <v>CIRUGÍA DE MANO</v>
      </c>
      <c r="U67" s="2" t="s">
        <v>240</v>
      </c>
    </row>
    <row r="68" spans="1:21" ht="63.75" hidden="1" x14ac:dyDescent="0.25">
      <c r="A68" s="25" t="s">
        <v>66</v>
      </c>
      <c r="B68" s="26" t="s">
        <v>243</v>
      </c>
      <c r="C68" s="27" t="s">
        <v>446</v>
      </c>
      <c r="D68" s="28" t="s">
        <v>570</v>
      </c>
      <c r="E68" s="29" t="s">
        <v>244</v>
      </c>
      <c r="F68" s="29" t="s">
        <v>310</v>
      </c>
      <c r="G68" s="29" t="s">
        <v>245</v>
      </c>
      <c r="H68" s="29" t="s">
        <v>617</v>
      </c>
      <c r="I68" s="29" t="s">
        <v>247</v>
      </c>
      <c r="J68" s="30" t="s">
        <v>617</v>
      </c>
      <c r="K68" s="31" t="s">
        <v>18</v>
      </c>
      <c r="L68" s="31" t="s">
        <v>624</v>
      </c>
      <c r="M68" s="31" t="s">
        <v>19</v>
      </c>
      <c r="N68" s="30" t="s">
        <v>145</v>
      </c>
      <c r="O68" s="30" t="s">
        <v>152</v>
      </c>
      <c r="P68" s="30" t="s">
        <v>625</v>
      </c>
      <c r="Q68" s="32" t="s">
        <v>32</v>
      </c>
      <c r="R68" s="32" t="s">
        <v>765</v>
      </c>
      <c r="S68" s="49" t="s">
        <v>471</v>
      </c>
      <c r="T68" s="2" t="str">
        <f>VLOOKUP(S68,[1]Servicios!$B:$C,2,0)</f>
        <v>NEUROCIRUGÍA</v>
      </c>
      <c r="U68" s="2" t="s">
        <v>243</v>
      </c>
    </row>
    <row r="69" spans="1:21" ht="63.75" hidden="1" x14ac:dyDescent="0.25">
      <c r="A69" s="25" t="s">
        <v>66</v>
      </c>
      <c r="B69" s="26" t="s">
        <v>248</v>
      </c>
      <c r="C69" s="27" t="s">
        <v>446</v>
      </c>
      <c r="D69" s="28" t="s">
        <v>571</v>
      </c>
      <c r="E69" s="29" t="s">
        <v>249</v>
      </c>
      <c r="F69" s="29" t="s">
        <v>311</v>
      </c>
      <c r="G69" s="29" t="s">
        <v>250</v>
      </c>
      <c r="H69" s="29" t="s">
        <v>617</v>
      </c>
      <c r="I69" s="29" t="s">
        <v>251</v>
      </c>
      <c r="J69" s="30" t="s">
        <v>617</v>
      </c>
      <c r="K69" s="31" t="s">
        <v>18</v>
      </c>
      <c r="L69" s="31" t="s">
        <v>624</v>
      </c>
      <c r="M69" s="31" t="s">
        <v>19</v>
      </c>
      <c r="N69" s="30" t="s">
        <v>145</v>
      </c>
      <c r="O69" s="30" t="s">
        <v>152</v>
      </c>
      <c r="P69" s="30" t="s">
        <v>625</v>
      </c>
      <c r="Q69" s="32" t="s">
        <v>32</v>
      </c>
      <c r="R69" s="32" t="s">
        <v>765</v>
      </c>
      <c r="S69" s="49" t="s">
        <v>472</v>
      </c>
      <c r="T69" s="2" t="str">
        <f>VLOOKUP(S69,[1]Servicios!$B:$C,2,0)</f>
        <v>ENDOCRINOLOGÍA</v>
      </c>
      <c r="U69" s="2" t="s">
        <v>248</v>
      </c>
    </row>
    <row r="70" spans="1:21" ht="63.75" hidden="1" x14ac:dyDescent="0.25">
      <c r="A70" s="25" t="s">
        <v>66</v>
      </c>
      <c r="B70" s="26" t="s">
        <v>252</v>
      </c>
      <c r="C70" s="27" t="s">
        <v>446</v>
      </c>
      <c r="D70" s="28" t="s">
        <v>572</v>
      </c>
      <c r="E70" s="29" t="s">
        <v>253</v>
      </c>
      <c r="F70" s="29" t="s">
        <v>312</v>
      </c>
      <c r="G70" s="29" t="s">
        <v>254</v>
      </c>
      <c r="H70" s="29" t="s">
        <v>617</v>
      </c>
      <c r="I70" s="29" t="s">
        <v>255</v>
      </c>
      <c r="J70" s="30" t="s">
        <v>617</v>
      </c>
      <c r="K70" s="31" t="s">
        <v>18</v>
      </c>
      <c r="L70" s="31" t="s">
        <v>624</v>
      </c>
      <c r="M70" s="31" t="s">
        <v>19</v>
      </c>
      <c r="N70" s="30" t="s">
        <v>145</v>
      </c>
      <c r="O70" s="30" t="s">
        <v>152</v>
      </c>
      <c r="P70" s="30" t="s">
        <v>625</v>
      </c>
      <c r="Q70" s="32" t="s">
        <v>32</v>
      </c>
      <c r="R70" s="32" t="s">
        <v>765</v>
      </c>
      <c r="S70" s="49" t="s">
        <v>473</v>
      </c>
      <c r="T70" s="2" t="str">
        <f>VLOOKUP(S70,[1]Servicios!$B:$C,2,0)</f>
        <v>HEMATOLOGÍA</v>
      </c>
      <c r="U70" s="2" t="s">
        <v>252</v>
      </c>
    </row>
    <row r="71" spans="1:21" ht="63.75" hidden="1" x14ac:dyDescent="0.25">
      <c r="A71" s="25" t="s">
        <v>66</v>
      </c>
      <c r="B71" s="26" t="s">
        <v>256</v>
      </c>
      <c r="C71" s="27" t="s">
        <v>446</v>
      </c>
      <c r="D71" s="28" t="s">
        <v>573</v>
      </c>
      <c r="E71" s="29" t="s">
        <v>257</v>
      </c>
      <c r="F71" s="29" t="s">
        <v>313</v>
      </c>
      <c r="G71" s="29" t="s">
        <v>258</v>
      </c>
      <c r="H71" s="29" t="s">
        <v>617</v>
      </c>
      <c r="I71" s="29" t="s">
        <v>259</v>
      </c>
      <c r="J71" s="30" t="s">
        <v>617</v>
      </c>
      <c r="K71" s="31" t="s">
        <v>18</v>
      </c>
      <c r="L71" s="31" t="s">
        <v>624</v>
      </c>
      <c r="M71" s="31" t="s">
        <v>19</v>
      </c>
      <c r="N71" s="30" t="s">
        <v>145</v>
      </c>
      <c r="O71" s="30" t="s">
        <v>152</v>
      </c>
      <c r="P71" s="30" t="s">
        <v>625</v>
      </c>
      <c r="Q71" s="32" t="s">
        <v>32</v>
      </c>
      <c r="R71" s="32" t="s">
        <v>765</v>
      </c>
      <c r="S71" s="49" t="s">
        <v>474</v>
      </c>
      <c r="T71" s="2" t="str">
        <f>VLOOKUP(S71,[1]Servicios!$B:$C,2,0)</f>
        <v>INFECTOLOGÍA</v>
      </c>
      <c r="U71" s="2" t="s">
        <v>256</v>
      </c>
    </row>
    <row r="72" spans="1:21" ht="63.75" hidden="1" x14ac:dyDescent="0.25">
      <c r="A72" s="25" t="s">
        <v>66</v>
      </c>
      <c r="B72" s="26" t="s">
        <v>260</v>
      </c>
      <c r="C72" s="27" t="s">
        <v>446</v>
      </c>
      <c r="D72" s="28" t="s">
        <v>574</v>
      </c>
      <c r="E72" s="29" t="s">
        <v>261</v>
      </c>
      <c r="F72" s="29" t="s">
        <v>314</v>
      </c>
      <c r="G72" s="29" t="s">
        <v>262</v>
      </c>
      <c r="H72" s="29" t="s">
        <v>617</v>
      </c>
      <c r="I72" s="29" t="s">
        <v>263</v>
      </c>
      <c r="J72" s="30" t="s">
        <v>617</v>
      </c>
      <c r="K72" s="31" t="s">
        <v>18</v>
      </c>
      <c r="L72" s="31" t="s">
        <v>624</v>
      </c>
      <c r="M72" s="31" t="s">
        <v>19</v>
      </c>
      <c r="N72" s="30" t="s">
        <v>145</v>
      </c>
      <c r="O72" s="30" t="s">
        <v>152</v>
      </c>
      <c r="P72" s="30" t="s">
        <v>625</v>
      </c>
      <c r="Q72" s="32" t="s">
        <v>32</v>
      </c>
      <c r="R72" s="32" t="s">
        <v>765</v>
      </c>
      <c r="S72" s="49" t="s">
        <v>475</v>
      </c>
      <c r="T72" s="2" t="str">
        <f>VLOOKUP(S72,[1]Servicios!$B:$C,2,0)</f>
        <v>NEUMOLOGÍA</v>
      </c>
      <c r="U72" s="2" t="s">
        <v>260</v>
      </c>
    </row>
    <row r="73" spans="1:21" ht="63.75" hidden="1" x14ac:dyDescent="0.25">
      <c r="A73" s="25" t="s">
        <v>66</v>
      </c>
      <c r="B73" s="26" t="s">
        <v>264</v>
      </c>
      <c r="C73" s="27" t="s">
        <v>446</v>
      </c>
      <c r="D73" s="28" t="s">
        <v>575</v>
      </c>
      <c r="E73" s="29" t="s">
        <v>265</v>
      </c>
      <c r="F73" s="29" t="s">
        <v>315</v>
      </c>
      <c r="G73" s="29" t="s">
        <v>266</v>
      </c>
      <c r="H73" s="29" t="s">
        <v>617</v>
      </c>
      <c r="I73" s="29" t="s">
        <v>267</v>
      </c>
      <c r="J73" s="30" t="s">
        <v>617</v>
      </c>
      <c r="K73" s="31" t="s">
        <v>18</v>
      </c>
      <c r="L73" s="31" t="s">
        <v>624</v>
      </c>
      <c r="M73" s="31" t="s">
        <v>19</v>
      </c>
      <c r="N73" s="30" t="s">
        <v>145</v>
      </c>
      <c r="O73" s="30" t="s">
        <v>152</v>
      </c>
      <c r="P73" s="30" t="s">
        <v>625</v>
      </c>
      <c r="Q73" s="32" t="s">
        <v>32</v>
      </c>
      <c r="R73" s="32" t="s">
        <v>765</v>
      </c>
      <c r="S73" s="49" t="s">
        <v>476</v>
      </c>
      <c r="T73" s="2" t="str">
        <f>VLOOKUP(S73,[1]Servicios!$B:$C,2,0)</f>
        <v>ONCOLOGÍA CLÍNICA</v>
      </c>
      <c r="U73" s="2" t="s">
        <v>264</v>
      </c>
    </row>
    <row r="74" spans="1:21" ht="63.75" hidden="1" x14ac:dyDescent="0.25">
      <c r="A74" s="25" t="s">
        <v>66</v>
      </c>
      <c r="B74" s="26" t="s">
        <v>268</v>
      </c>
      <c r="C74" s="27" t="s">
        <v>446</v>
      </c>
      <c r="D74" s="28" t="s">
        <v>579</v>
      </c>
      <c r="E74" s="29" t="s">
        <v>269</v>
      </c>
      <c r="F74" s="29" t="s">
        <v>316</v>
      </c>
      <c r="G74" s="29" t="s">
        <v>270</v>
      </c>
      <c r="H74" s="29" t="s">
        <v>617</v>
      </c>
      <c r="I74" s="29" t="s">
        <v>271</v>
      </c>
      <c r="J74" s="30" t="s">
        <v>617</v>
      </c>
      <c r="K74" s="31" t="s">
        <v>18</v>
      </c>
      <c r="L74" s="31" t="s">
        <v>624</v>
      </c>
      <c r="M74" s="31" t="s">
        <v>19</v>
      </c>
      <c r="N74" s="30" t="s">
        <v>145</v>
      </c>
      <c r="O74" s="30" t="s">
        <v>152</v>
      </c>
      <c r="P74" s="30" t="s">
        <v>625</v>
      </c>
      <c r="Q74" s="32" t="s">
        <v>32</v>
      </c>
      <c r="R74" s="32" t="s">
        <v>765</v>
      </c>
      <c r="S74" s="49" t="s">
        <v>477</v>
      </c>
      <c r="T74" s="2" t="str">
        <f>VLOOKUP(S74,[1]Servicios!$B:$C,2,0)</f>
        <v>REUMATOLOGÍA</v>
      </c>
      <c r="U74" s="2" t="s">
        <v>268</v>
      </c>
    </row>
    <row r="75" spans="1:21" ht="63.75" hidden="1" x14ac:dyDescent="0.25">
      <c r="A75" s="25" t="s">
        <v>66</v>
      </c>
      <c r="B75" s="26" t="s">
        <v>272</v>
      </c>
      <c r="C75" s="27" t="s">
        <v>446</v>
      </c>
      <c r="D75" s="28" t="s">
        <v>591</v>
      </c>
      <c r="E75" s="29" t="s">
        <v>273</v>
      </c>
      <c r="F75" s="29" t="s">
        <v>317</v>
      </c>
      <c r="G75" s="29" t="s">
        <v>274</v>
      </c>
      <c r="H75" s="29" t="s">
        <v>617</v>
      </c>
      <c r="I75" s="29" t="s">
        <v>275</v>
      </c>
      <c r="J75" s="30" t="s">
        <v>617</v>
      </c>
      <c r="K75" s="31" t="s">
        <v>18</v>
      </c>
      <c r="L75" s="31" t="s">
        <v>624</v>
      </c>
      <c r="M75" s="31" t="s">
        <v>19</v>
      </c>
      <c r="N75" s="30" t="s">
        <v>145</v>
      </c>
      <c r="O75" s="30" t="s">
        <v>152</v>
      </c>
      <c r="P75" s="30" t="s">
        <v>625</v>
      </c>
      <c r="Q75" s="32" t="s">
        <v>32</v>
      </c>
      <c r="R75" s="32" t="s">
        <v>765</v>
      </c>
      <c r="S75" s="49" t="s">
        <v>478</v>
      </c>
      <c r="T75" s="2" t="str">
        <f>VLOOKUP(S75,[1]Servicios!$B:$C,2,0)</f>
        <v>PSIQUIATRÍA</v>
      </c>
      <c r="U75" s="2" t="s">
        <v>272</v>
      </c>
    </row>
    <row r="76" spans="1:21" ht="63.75" hidden="1" x14ac:dyDescent="0.25">
      <c r="A76" s="25" t="s">
        <v>66</v>
      </c>
      <c r="B76" s="26" t="s">
        <v>276</v>
      </c>
      <c r="C76" s="27" t="s">
        <v>446</v>
      </c>
      <c r="D76" s="28" t="s">
        <v>598</v>
      </c>
      <c r="E76" s="29" t="s">
        <v>277</v>
      </c>
      <c r="F76" s="29" t="s">
        <v>318</v>
      </c>
      <c r="G76" s="29" t="s">
        <v>278</v>
      </c>
      <c r="H76" s="29" t="s">
        <v>617</v>
      </c>
      <c r="I76" s="29" t="s">
        <v>279</v>
      </c>
      <c r="J76" s="30" t="s">
        <v>617</v>
      </c>
      <c r="K76" s="31" t="s">
        <v>18</v>
      </c>
      <c r="L76" s="31" t="s">
        <v>624</v>
      </c>
      <c r="M76" s="31" t="s">
        <v>19</v>
      </c>
      <c r="N76" s="30" t="s">
        <v>145</v>
      </c>
      <c r="O76" s="30" t="s">
        <v>152</v>
      </c>
      <c r="P76" s="30" t="s">
        <v>625</v>
      </c>
      <c r="Q76" s="32" t="s">
        <v>32</v>
      </c>
      <c r="R76" s="32" t="s">
        <v>765</v>
      </c>
      <c r="S76" s="49" t="s">
        <v>479</v>
      </c>
      <c r="T76" s="2" t="str">
        <f>VLOOKUP(S76,[1]Servicios!$B:$C,2,0)</f>
        <v>COLOPROCTOLOGÍA</v>
      </c>
      <c r="U76" s="2" t="s">
        <v>276</v>
      </c>
    </row>
    <row r="77" spans="1:21" ht="63.75" hidden="1" x14ac:dyDescent="0.25">
      <c r="A77" s="25" t="s">
        <v>66</v>
      </c>
      <c r="B77" s="26" t="s">
        <v>280</v>
      </c>
      <c r="C77" s="27" t="s">
        <v>446</v>
      </c>
      <c r="D77" s="28" t="s">
        <v>605</v>
      </c>
      <c r="E77" s="29" t="s">
        <v>281</v>
      </c>
      <c r="F77" s="29" t="s">
        <v>319</v>
      </c>
      <c r="G77" s="29" t="s">
        <v>286</v>
      </c>
      <c r="H77" s="29" t="s">
        <v>617</v>
      </c>
      <c r="I77" s="29" t="s">
        <v>282</v>
      </c>
      <c r="J77" s="30" t="s">
        <v>617</v>
      </c>
      <c r="K77" s="31" t="s">
        <v>18</v>
      </c>
      <c r="L77" s="31" t="s">
        <v>624</v>
      </c>
      <c r="M77" s="31" t="s">
        <v>19</v>
      </c>
      <c r="N77" s="30" t="s">
        <v>145</v>
      </c>
      <c r="O77" s="30" t="s">
        <v>152</v>
      </c>
      <c r="P77" s="30" t="s">
        <v>625</v>
      </c>
      <c r="Q77" s="32" t="s">
        <v>32</v>
      </c>
      <c r="R77" s="32" t="s">
        <v>765</v>
      </c>
      <c r="S77" s="49" t="s">
        <v>480</v>
      </c>
      <c r="T77" s="2" t="str">
        <f>VLOOKUP(S77,[1]Servicios!$B:$C,2,0)</f>
        <v>ENDODONCIA</v>
      </c>
      <c r="U77" s="2" t="s">
        <v>280</v>
      </c>
    </row>
    <row r="78" spans="1:21" ht="63.75" hidden="1" x14ac:dyDescent="0.25">
      <c r="A78" s="25" t="s">
        <v>66</v>
      </c>
      <c r="B78" s="26" t="s">
        <v>283</v>
      </c>
      <c r="C78" s="27" t="s">
        <v>446</v>
      </c>
      <c r="D78" s="28" t="s">
        <v>628</v>
      </c>
      <c r="E78" s="29" t="s">
        <v>284</v>
      </c>
      <c r="F78" s="29" t="s">
        <v>294</v>
      </c>
      <c r="G78" s="29" t="s">
        <v>285</v>
      </c>
      <c r="H78" s="29" t="s">
        <v>617</v>
      </c>
      <c r="I78" s="29" t="s">
        <v>287</v>
      </c>
      <c r="J78" s="30" t="s">
        <v>617</v>
      </c>
      <c r="K78" s="31" t="s">
        <v>18</v>
      </c>
      <c r="L78" s="31" t="s">
        <v>624</v>
      </c>
      <c r="M78" s="31" t="s">
        <v>19</v>
      </c>
      <c r="N78" s="30" t="s">
        <v>145</v>
      </c>
      <c r="O78" s="30" t="s">
        <v>152</v>
      </c>
      <c r="P78" s="30" t="s">
        <v>625</v>
      </c>
      <c r="Q78" s="32" t="s">
        <v>32</v>
      </c>
      <c r="R78" s="32" t="s">
        <v>765</v>
      </c>
      <c r="S78" s="49" t="s">
        <v>465</v>
      </c>
      <c r="T78" s="2" t="str">
        <f>VLOOKUP(S78,[1]Servicios!$B:$C,2,0)</f>
        <v>MEDICINA FÍSICA Y DEL DEPORTE</v>
      </c>
      <c r="U78" s="2" t="s">
        <v>283</v>
      </c>
    </row>
    <row r="79" spans="1:21" ht="63.75" hidden="1" x14ac:dyDescent="0.25">
      <c r="A79" s="25" t="s">
        <v>66</v>
      </c>
      <c r="B79" s="26" t="s">
        <v>288</v>
      </c>
      <c r="C79" s="27" t="s">
        <v>446</v>
      </c>
      <c r="D79" s="28" t="s">
        <v>636</v>
      </c>
      <c r="E79" s="29" t="s">
        <v>289</v>
      </c>
      <c r="F79" s="29" t="s">
        <v>321</v>
      </c>
      <c r="G79" s="29" t="s">
        <v>290</v>
      </c>
      <c r="H79" s="29" t="s">
        <v>617</v>
      </c>
      <c r="I79" s="29" t="s">
        <v>291</v>
      </c>
      <c r="J79" s="30" t="s">
        <v>617</v>
      </c>
      <c r="K79" s="31" t="s">
        <v>18</v>
      </c>
      <c r="L79" s="31" t="s">
        <v>624</v>
      </c>
      <c r="M79" s="31" t="s">
        <v>19</v>
      </c>
      <c r="N79" s="30" t="s">
        <v>145</v>
      </c>
      <c r="O79" s="30" t="s">
        <v>152</v>
      </c>
      <c r="P79" s="30" t="s">
        <v>625</v>
      </c>
      <c r="Q79" s="32" t="s">
        <v>32</v>
      </c>
      <c r="R79" s="32" t="s">
        <v>765</v>
      </c>
      <c r="S79" s="49" t="s">
        <v>481</v>
      </c>
      <c r="T79" s="2" t="str">
        <f>VLOOKUP(S79,[1]Servicios!$B:$C,2,0)</f>
        <v>ORTODONCIA</v>
      </c>
      <c r="U79" s="2" t="s">
        <v>288</v>
      </c>
    </row>
    <row r="80" spans="1:21" ht="63.75" hidden="1" x14ac:dyDescent="0.25">
      <c r="A80" s="25" t="s">
        <v>66</v>
      </c>
      <c r="B80" s="26" t="s">
        <v>292</v>
      </c>
      <c r="C80" s="27" t="s">
        <v>446</v>
      </c>
      <c r="D80" s="28" t="s">
        <v>646</v>
      </c>
      <c r="E80" s="29" t="s">
        <v>293</v>
      </c>
      <c r="F80" s="29" t="s">
        <v>322</v>
      </c>
      <c r="G80" s="29" t="s">
        <v>327</v>
      </c>
      <c r="H80" s="29" t="s">
        <v>617</v>
      </c>
      <c r="I80" s="29" t="s">
        <v>328</v>
      </c>
      <c r="J80" s="30" t="s">
        <v>617</v>
      </c>
      <c r="K80" s="31" t="s">
        <v>18</v>
      </c>
      <c r="L80" s="31" t="s">
        <v>624</v>
      </c>
      <c r="M80" s="31" t="s">
        <v>19</v>
      </c>
      <c r="N80" s="30" t="s">
        <v>145</v>
      </c>
      <c r="O80" s="30" t="s">
        <v>152</v>
      </c>
      <c r="P80" s="30" t="s">
        <v>625</v>
      </c>
      <c r="Q80" s="32" t="s">
        <v>32</v>
      </c>
      <c r="R80" s="32" t="s">
        <v>765</v>
      </c>
      <c r="S80" s="49" t="s">
        <v>482</v>
      </c>
      <c r="T80" s="2" t="str">
        <f>VLOOKUP(S80,[1]Servicios!$B:$C,2,0)</f>
        <v>PERIODONCIA</v>
      </c>
      <c r="U80" s="2" t="s">
        <v>292</v>
      </c>
    </row>
    <row r="81" spans="1:21" ht="63.75" hidden="1" x14ac:dyDescent="0.25">
      <c r="A81" s="25" t="s">
        <v>66</v>
      </c>
      <c r="B81" s="26" t="s">
        <v>323</v>
      </c>
      <c r="C81" s="27" t="s">
        <v>446</v>
      </c>
      <c r="D81" s="28" t="s">
        <v>653</v>
      </c>
      <c r="E81" s="29" t="s">
        <v>324</v>
      </c>
      <c r="F81" s="29" t="s">
        <v>325</v>
      </c>
      <c r="G81" s="29" t="s">
        <v>326</v>
      </c>
      <c r="H81" s="29" t="s">
        <v>617</v>
      </c>
      <c r="I81" s="29" t="s">
        <v>329</v>
      </c>
      <c r="J81" s="30" t="s">
        <v>617</v>
      </c>
      <c r="K81" s="31" t="s">
        <v>18</v>
      </c>
      <c r="L81" s="31" t="s">
        <v>624</v>
      </c>
      <c r="M81" s="31" t="s">
        <v>19</v>
      </c>
      <c r="N81" s="30" t="s">
        <v>145</v>
      </c>
      <c r="O81" s="30" t="s">
        <v>152</v>
      </c>
      <c r="P81" s="30" t="s">
        <v>625</v>
      </c>
      <c r="Q81" s="32" t="s">
        <v>32</v>
      </c>
      <c r="R81" s="32" t="s">
        <v>765</v>
      </c>
      <c r="S81" s="49" t="s">
        <v>483</v>
      </c>
      <c r="T81" s="2" t="str">
        <f>VLOOKUP(S81,[1]Servicios!$B:$C,2,0)</f>
        <v>REHABILITACIÓN ORAL</v>
      </c>
      <c r="U81" s="2" t="s">
        <v>323</v>
      </c>
    </row>
    <row r="82" spans="1:21" ht="63.75" hidden="1" x14ac:dyDescent="0.25">
      <c r="A82" s="25" t="s">
        <v>66</v>
      </c>
      <c r="B82" s="26" t="s">
        <v>330</v>
      </c>
      <c r="C82" s="27" t="s">
        <v>446</v>
      </c>
      <c r="D82" s="28" t="s">
        <v>659</v>
      </c>
      <c r="E82" s="29" t="s">
        <v>331</v>
      </c>
      <c r="F82" s="29" t="s">
        <v>332</v>
      </c>
      <c r="G82" s="29" t="s">
        <v>333</v>
      </c>
      <c r="H82" s="29" t="s">
        <v>617</v>
      </c>
      <c r="I82" s="29" t="s">
        <v>334</v>
      </c>
      <c r="J82" s="30" t="s">
        <v>617</v>
      </c>
      <c r="K82" s="31" t="s">
        <v>18</v>
      </c>
      <c r="L82" s="31" t="s">
        <v>624</v>
      </c>
      <c r="M82" s="31" t="s">
        <v>19</v>
      </c>
      <c r="N82" s="30" t="s">
        <v>145</v>
      </c>
      <c r="O82" s="30" t="s">
        <v>152</v>
      </c>
      <c r="P82" s="30" t="s">
        <v>625</v>
      </c>
      <c r="Q82" s="32" t="s">
        <v>32</v>
      </c>
      <c r="R82" s="32" t="s">
        <v>765</v>
      </c>
      <c r="S82" s="49" t="s">
        <v>484</v>
      </c>
      <c r="T82" s="2" t="str">
        <f>VLOOKUP(S82,[1]Servicios!$B:$C,2,0)</f>
        <v>CIRUGÍA MAXILOFACIAL</v>
      </c>
      <c r="U82" s="2" t="s">
        <v>330</v>
      </c>
    </row>
    <row r="83" spans="1:21" ht="63.75" hidden="1" x14ac:dyDescent="0.25">
      <c r="A83" s="25" t="s">
        <v>66</v>
      </c>
      <c r="B83" s="26" t="s">
        <v>335</v>
      </c>
      <c r="C83" s="27" t="s">
        <v>446</v>
      </c>
      <c r="D83" s="28" t="s">
        <v>668</v>
      </c>
      <c r="E83" s="29" t="s">
        <v>336</v>
      </c>
      <c r="F83" s="29" t="s">
        <v>337</v>
      </c>
      <c r="G83" s="29" t="s">
        <v>338</v>
      </c>
      <c r="H83" s="29" t="s">
        <v>617</v>
      </c>
      <c r="I83" s="29" t="s">
        <v>339</v>
      </c>
      <c r="J83" s="30" t="s">
        <v>617</v>
      </c>
      <c r="K83" s="31" t="s">
        <v>18</v>
      </c>
      <c r="L83" s="31" t="s">
        <v>624</v>
      </c>
      <c r="M83" s="31" t="s">
        <v>19</v>
      </c>
      <c r="N83" s="30" t="s">
        <v>145</v>
      </c>
      <c r="O83" s="30" t="s">
        <v>152</v>
      </c>
      <c r="P83" s="30" t="s">
        <v>625</v>
      </c>
      <c r="Q83" s="32" t="s">
        <v>32</v>
      </c>
      <c r="R83" s="32" t="s">
        <v>765</v>
      </c>
      <c r="S83" s="49" t="s">
        <v>485</v>
      </c>
      <c r="T83" s="2" t="str">
        <f>VLOOKUP(S83,[1]Servicios!$B:$C,2,0)</f>
        <v>OFTALMOLOGÍA</v>
      </c>
      <c r="U83" s="2" t="s">
        <v>335</v>
      </c>
    </row>
    <row r="84" spans="1:21" ht="63.75" hidden="1" x14ac:dyDescent="0.25">
      <c r="A84" s="25" t="s">
        <v>66</v>
      </c>
      <c r="B84" s="26" t="s">
        <v>340</v>
      </c>
      <c r="C84" s="27" t="s">
        <v>446</v>
      </c>
      <c r="D84" s="28" t="s">
        <v>677</v>
      </c>
      <c r="E84" s="29" t="s">
        <v>341</v>
      </c>
      <c r="F84" s="29" t="s">
        <v>342</v>
      </c>
      <c r="G84" s="29" t="s">
        <v>343</v>
      </c>
      <c r="H84" s="29" t="s">
        <v>617</v>
      </c>
      <c r="I84" s="29" t="s">
        <v>344</v>
      </c>
      <c r="J84" s="30" t="s">
        <v>617</v>
      </c>
      <c r="K84" s="31" t="s">
        <v>18</v>
      </c>
      <c r="L84" s="31" t="s">
        <v>624</v>
      </c>
      <c r="M84" s="31" t="s">
        <v>19</v>
      </c>
      <c r="N84" s="30" t="s">
        <v>145</v>
      </c>
      <c r="O84" s="30" t="s">
        <v>152</v>
      </c>
      <c r="P84" s="30" t="s">
        <v>625</v>
      </c>
      <c r="Q84" s="32" t="s">
        <v>32</v>
      </c>
      <c r="R84" s="32" t="s">
        <v>765</v>
      </c>
      <c r="S84" s="49" t="s">
        <v>486</v>
      </c>
      <c r="T84" s="2" t="str">
        <f>VLOOKUP(S84,[1]Servicios!$B:$C,2,0)</f>
        <v xml:space="preserve">CIRUGÍA CARDIOVASCULAR </v>
      </c>
      <c r="U84" s="2" t="s">
        <v>340</v>
      </c>
    </row>
    <row r="85" spans="1:21" ht="63.75" hidden="1" x14ac:dyDescent="0.25">
      <c r="A85" s="25" t="s">
        <v>66</v>
      </c>
      <c r="B85" s="26" t="s">
        <v>345</v>
      </c>
      <c r="C85" s="27" t="s">
        <v>446</v>
      </c>
      <c r="D85" s="28" t="s">
        <v>683</v>
      </c>
      <c r="E85" s="29" t="s">
        <v>346</v>
      </c>
      <c r="F85" s="29" t="s">
        <v>347</v>
      </c>
      <c r="G85" s="29" t="s">
        <v>348</v>
      </c>
      <c r="H85" s="29" t="s">
        <v>617</v>
      </c>
      <c r="I85" s="29" t="s">
        <v>349</v>
      </c>
      <c r="J85" s="30" t="s">
        <v>617</v>
      </c>
      <c r="K85" s="31" t="s">
        <v>18</v>
      </c>
      <c r="L85" s="31" t="s">
        <v>624</v>
      </c>
      <c r="M85" s="31" t="s">
        <v>19</v>
      </c>
      <c r="N85" s="30" t="s">
        <v>145</v>
      </c>
      <c r="O85" s="30" t="s">
        <v>152</v>
      </c>
      <c r="P85" s="30" t="s">
        <v>625</v>
      </c>
      <c r="Q85" s="32" t="s">
        <v>32</v>
      </c>
      <c r="R85" s="32" t="s">
        <v>765</v>
      </c>
      <c r="S85" s="49" t="s">
        <v>487</v>
      </c>
      <c r="T85" s="2" t="str">
        <f>VLOOKUP(S85,[1]Servicios!$B:$C,2,0)</f>
        <v>GENÉTICA</v>
      </c>
      <c r="U85" s="2" t="s">
        <v>345</v>
      </c>
    </row>
    <row r="86" spans="1:21" ht="63.75" hidden="1" x14ac:dyDescent="0.25">
      <c r="A86" s="25" t="s">
        <v>66</v>
      </c>
      <c r="B86" s="26" t="s">
        <v>350</v>
      </c>
      <c r="C86" s="27" t="s">
        <v>446</v>
      </c>
      <c r="D86" s="28" t="s">
        <v>690</v>
      </c>
      <c r="E86" s="29" t="s">
        <v>351</v>
      </c>
      <c r="F86" s="29" t="s">
        <v>352</v>
      </c>
      <c r="G86" s="29" t="s">
        <v>353</v>
      </c>
      <c r="H86" s="29" t="s">
        <v>617</v>
      </c>
      <c r="I86" s="29" t="s">
        <v>354</v>
      </c>
      <c r="J86" s="30" t="s">
        <v>617</v>
      </c>
      <c r="K86" s="31" t="s">
        <v>18</v>
      </c>
      <c r="L86" s="31" t="s">
        <v>624</v>
      </c>
      <c r="M86" s="31" t="s">
        <v>19</v>
      </c>
      <c r="N86" s="30" t="s">
        <v>145</v>
      </c>
      <c r="O86" s="30" t="s">
        <v>152</v>
      </c>
      <c r="P86" s="30" t="s">
        <v>625</v>
      </c>
      <c r="Q86" s="32" t="s">
        <v>32</v>
      </c>
      <c r="R86" s="32" t="s">
        <v>765</v>
      </c>
      <c r="S86" s="49" t="s">
        <v>488</v>
      </c>
      <c r="T86" s="2" t="str">
        <f>VLOOKUP(S86,[1]Servicios!$B:$C,2,0)</f>
        <v>CIRUGÍA DE TÓRAX</v>
      </c>
      <c r="U86" s="2" t="s">
        <v>350</v>
      </c>
    </row>
    <row r="87" spans="1:21" ht="63.75" hidden="1" x14ac:dyDescent="0.25">
      <c r="A87" s="25" t="s">
        <v>66</v>
      </c>
      <c r="B87" s="26" t="s">
        <v>355</v>
      </c>
      <c r="C87" s="27" t="s">
        <v>446</v>
      </c>
      <c r="D87" s="28" t="s">
        <v>699</v>
      </c>
      <c r="E87" s="29" t="s">
        <v>356</v>
      </c>
      <c r="F87" s="29" t="s">
        <v>357</v>
      </c>
      <c r="G87" s="29" t="s">
        <v>358</v>
      </c>
      <c r="H87" s="29" t="s">
        <v>617</v>
      </c>
      <c r="I87" s="29" t="s">
        <v>359</v>
      </c>
      <c r="J87" s="30" t="s">
        <v>617</v>
      </c>
      <c r="K87" s="31" t="s">
        <v>18</v>
      </c>
      <c r="L87" s="31" t="s">
        <v>624</v>
      </c>
      <c r="M87" s="31" t="s">
        <v>19</v>
      </c>
      <c r="N87" s="30" t="s">
        <v>145</v>
      </c>
      <c r="O87" s="30" t="s">
        <v>152</v>
      </c>
      <c r="P87" s="30" t="s">
        <v>625</v>
      </c>
      <c r="Q87" s="32" t="s">
        <v>32</v>
      </c>
      <c r="R87" s="32" t="s">
        <v>765</v>
      </c>
      <c r="S87" s="49" t="s">
        <v>489</v>
      </c>
      <c r="T87" s="2" t="str">
        <f>VLOOKUP(S87,[1]Servicios!$B:$C,2,0)</f>
        <v>CIRUGÍA GASTROINTESTINAL</v>
      </c>
      <c r="U87" s="2" t="s">
        <v>355</v>
      </c>
    </row>
    <row r="88" spans="1:21" ht="63.75" hidden="1" x14ac:dyDescent="0.25">
      <c r="A88" s="25" t="s">
        <v>66</v>
      </c>
      <c r="B88" s="26" t="s">
        <v>360</v>
      </c>
      <c r="C88" s="27" t="s">
        <v>446</v>
      </c>
      <c r="D88" s="28" t="s">
        <v>706</v>
      </c>
      <c r="E88" s="29" t="s">
        <v>365</v>
      </c>
      <c r="F88" s="29" t="s">
        <v>361</v>
      </c>
      <c r="G88" s="29" t="s">
        <v>362</v>
      </c>
      <c r="H88" s="29" t="s">
        <v>617</v>
      </c>
      <c r="I88" s="29" t="s">
        <v>363</v>
      </c>
      <c r="J88" s="30" t="s">
        <v>617</v>
      </c>
      <c r="K88" s="31" t="s">
        <v>18</v>
      </c>
      <c r="L88" s="31" t="s">
        <v>624</v>
      </c>
      <c r="M88" s="31" t="s">
        <v>19</v>
      </c>
      <c r="N88" s="30" t="s">
        <v>145</v>
      </c>
      <c r="O88" s="30" t="s">
        <v>152</v>
      </c>
      <c r="P88" s="30" t="s">
        <v>625</v>
      </c>
      <c r="Q88" s="32" t="s">
        <v>32</v>
      </c>
      <c r="R88" s="32" t="s">
        <v>765</v>
      </c>
      <c r="S88" s="49" t="s">
        <v>490</v>
      </c>
      <c r="T88" s="2" t="str">
        <f>VLOOKUP(S88,[1]Servicios!$B:$C,2,0)</f>
        <v>MEDICINA NUCLEAR</v>
      </c>
      <c r="U88" s="2" t="s">
        <v>360</v>
      </c>
    </row>
    <row r="89" spans="1:21" ht="63.75" hidden="1" x14ac:dyDescent="0.25">
      <c r="A89" s="25" t="s">
        <v>66</v>
      </c>
      <c r="B89" s="26" t="s">
        <v>364</v>
      </c>
      <c r="C89" s="27" t="s">
        <v>446</v>
      </c>
      <c r="D89" s="28" t="s">
        <v>712</v>
      </c>
      <c r="E89" s="29" t="s">
        <v>366</v>
      </c>
      <c r="F89" s="29" t="s">
        <v>367</v>
      </c>
      <c r="G89" s="29" t="s">
        <v>368</v>
      </c>
      <c r="H89" s="29" t="s">
        <v>617</v>
      </c>
      <c r="I89" s="29" t="s">
        <v>369</v>
      </c>
      <c r="J89" s="30" t="s">
        <v>617</v>
      </c>
      <c r="K89" s="31" t="s">
        <v>18</v>
      </c>
      <c r="L89" s="31" t="s">
        <v>624</v>
      </c>
      <c r="M89" s="31" t="s">
        <v>19</v>
      </c>
      <c r="N89" s="30" t="s">
        <v>145</v>
      </c>
      <c r="O89" s="30" t="s">
        <v>152</v>
      </c>
      <c r="P89" s="30" t="s">
        <v>625</v>
      </c>
      <c r="Q89" s="32" t="s">
        <v>32</v>
      </c>
      <c r="R89" s="32" t="s">
        <v>765</v>
      </c>
      <c r="S89" s="49" t="s">
        <v>491</v>
      </c>
      <c r="T89" s="2" t="str">
        <f>VLOOKUP(S89,[1]Servicios!$B:$C,2,0)</f>
        <v>CIRUGÍA DE CABEZA Y CUELLO</v>
      </c>
      <c r="U89" s="2" t="s">
        <v>364</v>
      </c>
    </row>
    <row r="90" spans="1:21" ht="63.75" hidden="1" x14ac:dyDescent="0.25">
      <c r="A90" s="25" t="s">
        <v>66</v>
      </c>
      <c r="B90" s="26" t="s">
        <v>370</v>
      </c>
      <c r="C90" s="27" t="s">
        <v>446</v>
      </c>
      <c r="D90" s="28" t="s">
        <v>713</v>
      </c>
      <c r="E90" s="29" t="s">
        <v>371</v>
      </c>
      <c r="F90" s="29" t="s">
        <v>372</v>
      </c>
      <c r="G90" s="29" t="s">
        <v>373</v>
      </c>
      <c r="H90" s="29" t="s">
        <v>617</v>
      </c>
      <c r="I90" s="29" t="s">
        <v>374</v>
      </c>
      <c r="J90" s="30" t="s">
        <v>617</v>
      </c>
      <c r="K90" s="31" t="s">
        <v>18</v>
      </c>
      <c r="L90" s="31" t="s">
        <v>624</v>
      </c>
      <c r="M90" s="31" t="s">
        <v>19</v>
      </c>
      <c r="N90" s="30" t="s">
        <v>145</v>
      </c>
      <c r="O90" s="30" t="s">
        <v>152</v>
      </c>
      <c r="P90" s="30" t="s">
        <v>625</v>
      </c>
      <c r="Q90" s="32" t="s">
        <v>32</v>
      </c>
      <c r="R90" s="32" t="s">
        <v>765</v>
      </c>
      <c r="S90" s="49" t="s">
        <v>492</v>
      </c>
      <c r="T90" s="2" t="str">
        <f>VLOOKUP(S90,[1]Servicios!$B:$C,2,0)</f>
        <v>TOXICOLOGÍA</v>
      </c>
      <c r="U90" s="2" t="s">
        <v>370</v>
      </c>
    </row>
    <row r="91" spans="1:21" ht="63.75" hidden="1" x14ac:dyDescent="0.25">
      <c r="A91" s="25" t="s">
        <v>66</v>
      </c>
      <c r="B91" s="26" t="s">
        <v>375</v>
      </c>
      <c r="C91" s="27" t="s">
        <v>446</v>
      </c>
      <c r="D91" s="28" t="s">
        <v>714</v>
      </c>
      <c r="E91" s="29" t="s">
        <v>376</v>
      </c>
      <c r="F91" s="29" t="s">
        <v>377</v>
      </c>
      <c r="G91" s="29" t="s">
        <v>378</v>
      </c>
      <c r="H91" s="29" t="s">
        <v>617</v>
      </c>
      <c r="I91" s="29" t="s">
        <v>379</v>
      </c>
      <c r="J91" s="30" t="s">
        <v>617</v>
      </c>
      <c r="K91" s="31" t="s">
        <v>18</v>
      </c>
      <c r="L91" s="31" t="s">
        <v>624</v>
      </c>
      <c r="M91" s="31" t="s">
        <v>19</v>
      </c>
      <c r="N91" s="30" t="s">
        <v>145</v>
      </c>
      <c r="O91" s="30" t="s">
        <v>152</v>
      </c>
      <c r="P91" s="30" t="s">
        <v>625</v>
      </c>
      <c r="Q91" s="32" t="s">
        <v>32</v>
      </c>
      <c r="R91" s="32" t="s">
        <v>765</v>
      </c>
      <c r="S91" s="49" t="s">
        <v>493</v>
      </c>
      <c r="T91" s="2" t="str">
        <f>VLOOKUP(S91,[1]Servicios!$B:$C,2,0)</f>
        <v>CIRUGÍA ORAL</v>
      </c>
      <c r="U91" s="2" t="s">
        <v>375</v>
      </c>
    </row>
    <row r="92" spans="1:21" ht="63.75" hidden="1" x14ac:dyDescent="0.25">
      <c r="A92" s="25" t="s">
        <v>66</v>
      </c>
      <c r="B92" s="26" t="s">
        <v>380</v>
      </c>
      <c r="C92" s="27" t="s">
        <v>446</v>
      </c>
      <c r="D92" s="28" t="s">
        <v>715</v>
      </c>
      <c r="E92" s="29" t="s">
        <v>381</v>
      </c>
      <c r="F92" s="29" t="s">
        <v>382</v>
      </c>
      <c r="G92" s="29" t="s">
        <v>383</v>
      </c>
      <c r="H92" s="29" t="s">
        <v>617</v>
      </c>
      <c r="I92" s="29" t="s">
        <v>384</v>
      </c>
      <c r="J92" s="30" t="s">
        <v>617</v>
      </c>
      <c r="K92" s="31" t="s">
        <v>18</v>
      </c>
      <c r="L92" s="31" t="s">
        <v>624</v>
      </c>
      <c r="M92" s="31" t="s">
        <v>19</v>
      </c>
      <c r="N92" s="30" t="s">
        <v>145</v>
      </c>
      <c r="O92" s="30" t="s">
        <v>152</v>
      </c>
      <c r="P92" s="30" t="s">
        <v>625</v>
      </c>
      <c r="Q92" s="32" t="s">
        <v>32</v>
      </c>
      <c r="R92" s="32" t="s">
        <v>765</v>
      </c>
      <c r="S92" s="49" t="s">
        <v>494</v>
      </c>
      <c r="T92" s="2" t="str">
        <f>VLOOKUP(S92,[1]Servicios!$B:$C,2,0)</f>
        <v>CIRUGÍA ENDOVASCULAR NEUROLÓGICA</v>
      </c>
      <c r="U92" s="2" t="s">
        <v>380</v>
      </c>
    </row>
    <row r="93" spans="1:21" ht="76.5" hidden="1" x14ac:dyDescent="0.25">
      <c r="A93" s="25" t="s">
        <v>66</v>
      </c>
      <c r="B93" s="26" t="s">
        <v>385</v>
      </c>
      <c r="C93" s="27" t="s">
        <v>446</v>
      </c>
      <c r="D93" s="28" t="s">
        <v>721</v>
      </c>
      <c r="E93" s="29" t="s">
        <v>386</v>
      </c>
      <c r="F93" s="29" t="s">
        <v>387</v>
      </c>
      <c r="G93" s="29" t="s">
        <v>388</v>
      </c>
      <c r="H93" s="29" t="s">
        <v>617</v>
      </c>
      <c r="I93" s="29" t="s">
        <v>389</v>
      </c>
      <c r="J93" s="30" t="s">
        <v>617</v>
      </c>
      <c r="K93" s="31" t="s">
        <v>18</v>
      </c>
      <c r="L93" s="31" t="s">
        <v>624</v>
      </c>
      <c r="M93" s="31" t="s">
        <v>19</v>
      </c>
      <c r="N93" s="30" t="s">
        <v>145</v>
      </c>
      <c r="O93" s="30" t="s">
        <v>152</v>
      </c>
      <c r="P93" s="30" t="s">
        <v>625</v>
      </c>
      <c r="Q93" s="32" t="s">
        <v>32</v>
      </c>
      <c r="R93" s="32" t="s">
        <v>765</v>
      </c>
      <c r="S93" s="49" t="s">
        <v>495</v>
      </c>
      <c r="T93" s="2" t="str">
        <f>VLOOKUP(S93,[1]Servicios!$B:$C,2,0)</f>
        <v>DOLOR Y CUIDADOS PALIATIVOS</v>
      </c>
      <c r="U93" s="2" t="s">
        <v>385</v>
      </c>
    </row>
    <row r="94" spans="1:21" ht="63.75" hidden="1" x14ac:dyDescent="0.25">
      <c r="A94" s="25" t="s">
        <v>66</v>
      </c>
      <c r="B94" s="26" t="s">
        <v>390</v>
      </c>
      <c r="C94" s="27" t="s">
        <v>446</v>
      </c>
      <c r="D94" s="28" t="s">
        <v>725</v>
      </c>
      <c r="E94" s="29" t="s">
        <v>391</v>
      </c>
      <c r="F94" s="29" t="s">
        <v>392</v>
      </c>
      <c r="G94" s="29" t="s">
        <v>393</v>
      </c>
      <c r="H94" s="29" t="s">
        <v>617</v>
      </c>
      <c r="I94" s="29" t="s">
        <v>394</v>
      </c>
      <c r="J94" s="30" t="s">
        <v>617</v>
      </c>
      <c r="K94" s="31" t="s">
        <v>18</v>
      </c>
      <c r="L94" s="31" t="s">
        <v>624</v>
      </c>
      <c r="M94" s="31" t="s">
        <v>19</v>
      </c>
      <c r="N94" s="30" t="s">
        <v>145</v>
      </c>
      <c r="O94" s="30" t="s">
        <v>152</v>
      </c>
      <c r="P94" s="30" t="s">
        <v>625</v>
      </c>
      <c r="Q94" s="32" t="s">
        <v>32</v>
      </c>
      <c r="R94" s="32" t="s">
        <v>765</v>
      </c>
      <c r="S94" s="49" t="s">
        <v>956</v>
      </c>
      <c r="T94" s="2" t="str">
        <f>VLOOKUP(S94,[1]Servicios!$B:$C,2,0)</f>
        <v>MEDICINA ALTERNATIVA Y COMPLEMENTARIA - HOMEOPÁTICA</v>
      </c>
      <c r="U94" s="2" t="s">
        <v>390</v>
      </c>
    </row>
    <row r="95" spans="1:21" ht="63.75" hidden="1" x14ac:dyDescent="0.25">
      <c r="A95" s="25" t="s">
        <v>66</v>
      </c>
      <c r="B95" s="26" t="s">
        <v>390</v>
      </c>
      <c r="C95" s="27" t="s">
        <v>446</v>
      </c>
      <c r="D95" s="28" t="s">
        <v>726</v>
      </c>
      <c r="E95" s="29" t="s">
        <v>391</v>
      </c>
      <c r="F95" s="29" t="s">
        <v>392</v>
      </c>
      <c r="G95" s="29" t="s">
        <v>393</v>
      </c>
      <c r="H95" s="29" t="s">
        <v>617</v>
      </c>
      <c r="I95" s="29" t="s">
        <v>394</v>
      </c>
      <c r="J95" s="30" t="s">
        <v>617</v>
      </c>
      <c r="K95" s="31" t="s">
        <v>18</v>
      </c>
      <c r="L95" s="31" t="s">
        <v>624</v>
      </c>
      <c r="M95" s="31" t="s">
        <v>19</v>
      </c>
      <c r="N95" s="30" t="s">
        <v>145</v>
      </c>
      <c r="O95" s="30" t="s">
        <v>152</v>
      </c>
      <c r="P95" s="30" t="s">
        <v>625</v>
      </c>
      <c r="Q95" s="32" t="s">
        <v>32</v>
      </c>
      <c r="R95" s="32" t="s">
        <v>765</v>
      </c>
      <c r="S95" s="49" t="s">
        <v>957</v>
      </c>
      <c r="T95" s="2" t="str">
        <f>VLOOKUP(S95,[1]Servicios!$B:$C,2,0)</f>
        <v>MEDICINA ALTERNATIVA Y COMPLEMENTARIA - AYURVÉDICA</v>
      </c>
      <c r="U95" s="2" t="s">
        <v>390</v>
      </c>
    </row>
    <row r="96" spans="1:21" ht="63.75" hidden="1" x14ac:dyDescent="0.25">
      <c r="A96" s="25" t="s">
        <v>66</v>
      </c>
      <c r="B96" s="26" t="s">
        <v>390</v>
      </c>
      <c r="C96" s="27" t="s">
        <v>446</v>
      </c>
      <c r="D96" s="28" t="s">
        <v>727</v>
      </c>
      <c r="E96" s="29" t="s">
        <v>391</v>
      </c>
      <c r="F96" s="29" t="s">
        <v>392</v>
      </c>
      <c r="G96" s="29" t="s">
        <v>393</v>
      </c>
      <c r="H96" s="29" t="s">
        <v>617</v>
      </c>
      <c r="I96" s="29" t="s">
        <v>394</v>
      </c>
      <c r="J96" s="30" t="s">
        <v>617</v>
      </c>
      <c r="K96" s="31" t="s">
        <v>18</v>
      </c>
      <c r="L96" s="31" t="s">
        <v>624</v>
      </c>
      <c r="M96" s="31" t="s">
        <v>19</v>
      </c>
      <c r="N96" s="30" t="s">
        <v>145</v>
      </c>
      <c r="O96" s="30" t="s">
        <v>152</v>
      </c>
      <c r="P96" s="30" t="s">
        <v>625</v>
      </c>
      <c r="Q96" s="32" t="s">
        <v>32</v>
      </c>
      <c r="R96" s="32" t="s">
        <v>765</v>
      </c>
      <c r="S96" s="49" t="s">
        <v>958</v>
      </c>
      <c r="T96" s="2" t="str">
        <f>VLOOKUP(S96,[1]Servicios!$B:$C,2,0)</f>
        <v>MEDICINA ALTERNATIVA Y COMPLEMENTARIA - TRADICIONAL CHINA</v>
      </c>
      <c r="U96" s="2" t="s">
        <v>390</v>
      </c>
    </row>
    <row r="97" spans="1:21" ht="63.75" hidden="1" x14ac:dyDescent="0.25">
      <c r="A97" s="25" t="s">
        <v>66</v>
      </c>
      <c r="B97" s="26" t="s">
        <v>390</v>
      </c>
      <c r="C97" s="27" t="s">
        <v>446</v>
      </c>
      <c r="D97" s="28" t="s">
        <v>729</v>
      </c>
      <c r="E97" s="29" t="s">
        <v>391</v>
      </c>
      <c r="F97" s="29" t="s">
        <v>392</v>
      </c>
      <c r="G97" s="29" t="s">
        <v>393</v>
      </c>
      <c r="H97" s="29" t="s">
        <v>617</v>
      </c>
      <c r="I97" s="29" t="s">
        <v>394</v>
      </c>
      <c r="J97" s="30" t="s">
        <v>617</v>
      </c>
      <c r="K97" s="31" t="s">
        <v>18</v>
      </c>
      <c r="L97" s="31" t="s">
        <v>624</v>
      </c>
      <c r="M97" s="31" t="s">
        <v>19</v>
      </c>
      <c r="N97" s="30" t="s">
        <v>145</v>
      </c>
      <c r="O97" s="30" t="s">
        <v>152</v>
      </c>
      <c r="P97" s="30" t="s">
        <v>625</v>
      </c>
      <c r="Q97" s="32" t="s">
        <v>32</v>
      </c>
      <c r="R97" s="32" t="s">
        <v>765</v>
      </c>
      <c r="S97" s="49" t="s">
        <v>959</v>
      </c>
      <c r="T97" s="2" t="str">
        <f>VLOOKUP(S97,[1]Servicios!$B:$C,2,0)</f>
        <v>MEDICINA ALTERNATIVA Y COMPLEMENTARIA - NATUROPÁTICA</v>
      </c>
      <c r="U97" s="2" t="s">
        <v>390</v>
      </c>
    </row>
    <row r="98" spans="1:21" ht="63.75" hidden="1" x14ac:dyDescent="0.25">
      <c r="A98" s="25" t="s">
        <v>66</v>
      </c>
      <c r="B98" s="26" t="s">
        <v>390</v>
      </c>
      <c r="C98" s="27" t="s">
        <v>446</v>
      </c>
      <c r="D98" s="28" t="s">
        <v>735</v>
      </c>
      <c r="E98" s="29" t="s">
        <v>391</v>
      </c>
      <c r="F98" s="29" t="s">
        <v>392</v>
      </c>
      <c r="G98" s="29" t="s">
        <v>393</v>
      </c>
      <c r="H98" s="29" t="s">
        <v>617</v>
      </c>
      <c r="I98" s="29" t="s">
        <v>394</v>
      </c>
      <c r="J98" s="30" t="s">
        <v>617</v>
      </c>
      <c r="K98" s="31" t="s">
        <v>18</v>
      </c>
      <c r="L98" s="31" t="s">
        <v>624</v>
      </c>
      <c r="M98" s="31" t="s">
        <v>19</v>
      </c>
      <c r="N98" s="30" t="s">
        <v>145</v>
      </c>
      <c r="O98" s="30" t="s">
        <v>152</v>
      </c>
      <c r="P98" s="30" t="s">
        <v>625</v>
      </c>
      <c r="Q98" s="32" t="s">
        <v>32</v>
      </c>
      <c r="R98" s="32" t="s">
        <v>765</v>
      </c>
      <c r="S98" s="49" t="s">
        <v>960</v>
      </c>
      <c r="T98" s="2" t="str">
        <f>VLOOKUP(S98,[1]Servicios!$B:$C,2,0)</f>
        <v>MEDICINA ALTERNATIVA Y COMPLEMENTARIA - NEURALTERAPÉUTICA</v>
      </c>
      <c r="U98" s="2" t="s">
        <v>390</v>
      </c>
    </row>
    <row r="99" spans="1:21" ht="63.75" hidden="1" x14ac:dyDescent="0.25">
      <c r="A99" s="25" t="s">
        <v>66</v>
      </c>
      <c r="B99" s="26" t="s">
        <v>390</v>
      </c>
      <c r="C99" s="27" t="s">
        <v>446</v>
      </c>
      <c r="D99" s="28" t="s">
        <v>740</v>
      </c>
      <c r="E99" s="29" t="s">
        <v>391</v>
      </c>
      <c r="F99" s="29" t="s">
        <v>392</v>
      </c>
      <c r="G99" s="29" t="s">
        <v>393</v>
      </c>
      <c r="H99" s="29" t="s">
        <v>617</v>
      </c>
      <c r="I99" s="29" t="s">
        <v>394</v>
      </c>
      <c r="J99" s="30" t="s">
        <v>617</v>
      </c>
      <c r="K99" s="31" t="s">
        <v>18</v>
      </c>
      <c r="L99" s="31" t="s">
        <v>624</v>
      </c>
      <c r="M99" s="31" t="s">
        <v>19</v>
      </c>
      <c r="N99" s="30" t="s">
        <v>145</v>
      </c>
      <c r="O99" s="30" t="s">
        <v>152</v>
      </c>
      <c r="P99" s="30" t="s">
        <v>625</v>
      </c>
      <c r="Q99" s="32" t="s">
        <v>32</v>
      </c>
      <c r="R99" s="32" t="s">
        <v>765</v>
      </c>
      <c r="S99" s="49" t="s">
        <v>961</v>
      </c>
      <c r="T99" s="2" t="str">
        <f>VLOOKUP(S99,[1]Servicios!$B:$C,2,0)</f>
        <v>TERAPIAS ALTERNATIVAS Y COMPLEMENTARIAS - BIOENERGÉTICA</v>
      </c>
      <c r="U99" s="2" t="s">
        <v>978</v>
      </c>
    </row>
    <row r="100" spans="1:21" ht="63.75" hidden="1" x14ac:dyDescent="0.25">
      <c r="A100" s="25" t="s">
        <v>66</v>
      </c>
      <c r="B100" s="26" t="s">
        <v>390</v>
      </c>
      <c r="C100" s="27" t="s">
        <v>446</v>
      </c>
      <c r="D100" s="28" t="s">
        <v>746</v>
      </c>
      <c r="E100" s="29" t="s">
        <v>391</v>
      </c>
      <c r="F100" s="29" t="s">
        <v>392</v>
      </c>
      <c r="G100" s="29" t="s">
        <v>393</v>
      </c>
      <c r="H100" s="29" t="s">
        <v>617</v>
      </c>
      <c r="I100" s="29" t="s">
        <v>394</v>
      </c>
      <c r="J100" s="30" t="s">
        <v>617</v>
      </c>
      <c r="K100" s="31" t="s">
        <v>18</v>
      </c>
      <c r="L100" s="31" t="s">
        <v>624</v>
      </c>
      <c r="M100" s="31" t="s">
        <v>19</v>
      </c>
      <c r="N100" s="30" t="s">
        <v>145</v>
      </c>
      <c r="O100" s="30" t="s">
        <v>152</v>
      </c>
      <c r="P100" s="30" t="s">
        <v>625</v>
      </c>
      <c r="Q100" s="32" t="s">
        <v>32</v>
      </c>
      <c r="R100" s="32" t="s">
        <v>765</v>
      </c>
      <c r="S100" s="49" t="s">
        <v>962</v>
      </c>
      <c r="T100" s="2" t="str">
        <f>VLOOKUP(S100,[1]Servicios!$B:$C,2,0)</f>
        <v>MEDICINA ALTERNATIVA Y COMPLEMENTARIA - OSTEOPÁTICA</v>
      </c>
      <c r="U100" s="2" t="s">
        <v>390</v>
      </c>
    </row>
    <row r="101" spans="1:21" ht="63.75" hidden="1" x14ac:dyDescent="0.25">
      <c r="A101" s="25" t="s">
        <v>66</v>
      </c>
      <c r="B101" s="26" t="s">
        <v>395</v>
      </c>
      <c r="C101" s="27" t="s">
        <v>446</v>
      </c>
      <c r="D101" s="28" t="s">
        <v>747</v>
      </c>
      <c r="E101" s="29" t="s">
        <v>396</v>
      </c>
      <c r="F101" s="29" t="s">
        <v>397</v>
      </c>
      <c r="G101" s="29" t="s">
        <v>398</v>
      </c>
      <c r="H101" s="29" t="s">
        <v>617</v>
      </c>
      <c r="I101" s="29" t="s">
        <v>399</v>
      </c>
      <c r="J101" s="30" t="s">
        <v>617</v>
      </c>
      <c r="K101" s="31" t="s">
        <v>18</v>
      </c>
      <c r="L101" s="31" t="s">
        <v>624</v>
      </c>
      <c r="M101" s="31" t="s">
        <v>19</v>
      </c>
      <c r="N101" s="30" t="s">
        <v>145</v>
      </c>
      <c r="O101" s="30" t="s">
        <v>152</v>
      </c>
      <c r="P101" s="30" t="s">
        <v>625</v>
      </c>
      <c r="Q101" s="32" t="s">
        <v>32</v>
      </c>
      <c r="R101" s="32" t="s">
        <v>765</v>
      </c>
      <c r="S101" s="49" t="s">
        <v>496</v>
      </c>
      <c r="T101" s="2" t="str">
        <f>VLOOKUP(S101,[1]Servicios!$B:$C,2,0)</f>
        <v>CIRUGÍA PLÁSTICA Y ESTÉTICA</v>
      </c>
      <c r="U101" s="2" t="s">
        <v>395</v>
      </c>
    </row>
    <row r="102" spans="1:21" ht="63.75" hidden="1" x14ac:dyDescent="0.25">
      <c r="A102" s="25" t="s">
        <v>66</v>
      </c>
      <c r="B102" s="26" t="s">
        <v>400</v>
      </c>
      <c r="C102" s="27" t="s">
        <v>446</v>
      </c>
      <c r="D102" s="28" t="s">
        <v>750</v>
      </c>
      <c r="E102" s="29" t="s">
        <v>401</v>
      </c>
      <c r="F102" s="29" t="s">
        <v>402</v>
      </c>
      <c r="G102" s="29" t="s">
        <v>403</v>
      </c>
      <c r="H102" s="29" t="s">
        <v>617</v>
      </c>
      <c r="I102" s="29" t="s">
        <v>404</v>
      </c>
      <c r="J102" s="30" t="s">
        <v>617</v>
      </c>
      <c r="K102" s="31" t="s">
        <v>18</v>
      </c>
      <c r="L102" s="31" t="s">
        <v>624</v>
      </c>
      <c r="M102" s="31" t="s">
        <v>19</v>
      </c>
      <c r="N102" s="30" t="s">
        <v>145</v>
      </c>
      <c r="O102" s="30" t="s">
        <v>152</v>
      </c>
      <c r="P102" s="30" t="s">
        <v>625</v>
      </c>
      <c r="Q102" s="32" t="s">
        <v>32</v>
      </c>
      <c r="R102" s="32" t="s">
        <v>765</v>
      </c>
      <c r="S102" s="49" t="s">
        <v>497</v>
      </c>
      <c r="T102" s="2" t="str">
        <f>VLOOKUP(S102,[1]Servicios!$B:$C,2,0)</f>
        <v>ORTOPEDIA ONCOLÓGICA</v>
      </c>
      <c r="U102" s="2" t="s">
        <v>400</v>
      </c>
    </row>
    <row r="103" spans="1:21" ht="63.75" hidden="1" x14ac:dyDescent="0.25">
      <c r="A103" s="25" t="s">
        <v>66</v>
      </c>
      <c r="B103" s="26" t="s">
        <v>405</v>
      </c>
      <c r="C103" s="27" t="s">
        <v>446</v>
      </c>
      <c r="D103" s="28" t="s">
        <v>758</v>
      </c>
      <c r="E103" s="29" t="s">
        <v>406</v>
      </c>
      <c r="F103" s="29" t="s">
        <v>407</v>
      </c>
      <c r="G103" s="29" t="s">
        <v>408</v>
      </c>
      <c r="H103" s="29" t="s">
        <v>617</v>
      </c>
      <c r="I103" s="29" t="s">
        <v>409</v>
      </c>
      <c r="J103" s="30" t="s">
        <v>617</v>
      </c>
      <c r="K103" s="31" t="s">
        <v>18</v>
      </c>
      <c r="L103" s="31" t="s">
        <v>624</v>
      </c>
      <c r="M103" s="31" t="s">
        <v>19</v>
      </c>
      <c r="N103" s="30" t="s">
        <v>145</v>
      </c>
      <c r="O103" s="30" t="s">
        <v>152</v>
      </c>
      <c r="P103" s="30" t="s">
        <v>625</v>
      </c>
      <c r="Q103" s="32" t="s">
        <v>32</v>
      </c>
      <c r="R103" s="32" t="s">
        <v>765</v>
      </c>
      <c r="S103" s="49" t="s">
        <v>498</v>
      </c>
      <c r="T103" s="2" t="str">
        <f>VLOOKUP(S103,[1]Servicios!$B:$C,2,0)</f>
        <v>UROLOGÍA ONCOLÓGICA</v>
      </c>
      <c r="U103" s="2" t="s">
        <v>405</v>
      </c>
    </row>
    <row r="104" spans="1:21" ht="63.75" hidden="1" x14ac:dyDescent="0.25">
      <c r="A104" s="25" t="s">
        <v>66</v>
      </c>
      <c r="B104" s="26" t="s">
        <v>410</v>
      </c>
      <c r="C104" s="27" t="s">
        <v>446</v>
      </c>
      <c r="D104" s="28" t="s">
        <v>763</v>
      </c>
      <c r="E104" s="29" t="s">
        <v>411</v>
      </c>
      <c r="F104" s="29" t="s">
        <v>412</v>
      </c>
      <c r="G104" s="29" t="s">
        <v>413</v>
      </c>
      <c r="H104" s="29" t="s">
        <v>617</v>
      </c>
      <c r="I104" s="29" t="s">
        <v>414</v>
      </c>
      <c r="J104" s="30" t="s">
        <v>617</v>
      </c>
      <c r="K104" s="31" t="s">
        <v>18</v>
      </c>
      <c r="L104" s="31" t="s">
        <v>624</v>
      </c>
      <c r="M104" s="31" t="s">
        <v>19</v>
      </c>
      <c r="N104" s="30" t="s">
        <v>145</v>
      </c>
      <c r="O104" s="30" t="s">
        <v>152</v>
      </c>
      <c r="P104" s="30" t="s">
        <v>625</v>
      </c>
      <c r="Q104" s="32" t="s">
        <v>32</v>
      </c>
      <c r="R104" s="32" t="s">
        <v>765</v>
      </c>
      <c r="S104" s="49" t="s">
        <v>499</v>
      </c>
      <c r="T104" s="2" t="str">
        <f>VLOOKUP(S104,[1]Servicios!$B:$C,2,0)</f>
        <v>HEMATOLOGÍA ONCOLÓGICA</v>
      </c>
      <c r="U104" s="2" t="s">
        <v>410</v>
      </c>
    </row>
    <row r="105" spans="1:21" ht="63.75" hidden="1" x14ac:dyDescent="0.25">
      <c r="A105" s="25" t="s">
        <v>66</v>
      </c>
      <c r="B105" s="26" t="s">
        <v>415</v>
      </c>
      <c r="C105" s="27" t="s">
        <v>446</v>
      </c>
      <c r="D105" s="28" t="s">
        <v>796</v>
      </c>
      <c r="E105" s="29" t="s">
        <v>356</v>
      </c>
      <c r="F105" s="29" t="s">
        <v>416</v>
      </c>
      <c r="G105" s="29" t="s">
        <v>417</v>
      </c>
      <c r="H105" s="29" t="s">
        <v>617</v>
      </c>
      <c r="I105" s="29" t="s">
        <v>418</v>
      </c>
      <c r="J105" s="30" t="s">
        <v>617</v>
      </c>
      <c r="K105" s="31" t="s">
        <v>18</v>
      </c>
      <c r="L105" s="31" t="s">
        <v>624</v>
      </c>
      <c r="M105" s="31" t="s">
        <v>19</v>
      </c>
      <c r="N105" s="30" t="s">
        <v>145</v>
      </c>
      <c r="O105" s="30" t="s">
        <v>152</v>
      </c>
      <c r="P105" s="30" t="s">
        <v>625</v>
      </c>
      <c r="Q105" s="32" t="s">
        <v>32</v>
      </c>
      <c r="R105" s="32" t="s">
        <v>765</v>
      </c>
      <c r="S105" s="49" t="s">
        <v>500</v>
      </c>
      <c r="T105" s="2" t="str">
        <f>VLOOKUP(S105,[1]Servicios!$B:$C,2,0)</f>
        <v>CIRUGÍA GASTROINTESTINAL</v>
      </c>
      <c r="U105" s="2" t="s">
        <v>415</v>
      </c>
    </row>
    <row r="106" spans="1:21" ht="63.75" hidden="1" x14ac:dyDescent="0.25">
      <c r="A106" s="25" t="s">
        <v>66</v>
      </c>
      <c r="B106" s="26" t="s">
        <v>419</v>
      </c>
      <c r="C106" s="27" t="s">
        <v>446</v>
      </c>
      <c r="D106" s="28" t="s">
        <v>806</v>
      </c>
      <c r="E106" s="29" t="s">
        <v>420</v>
      </c>
      <c r="F106" s="29" t="s">
        <v>421</v>
      </c>
      <c r="G106" s="29" t="s">
        <v>422</v>
      </c>
      <c r="H106" s="29" t="s">
        <v>617</v>
      </c>
      <c r="I106" s="29" t="s">
        <v>423</v>
      </c>
      <c r="J106" s="30" t="s">
        <v>617</v>
      </c>
      <c r="K106" s="31" t="s">
        <v>18</v>
      </c>
      <c r="L106" s="31" t="s">
        <v>624</v>
      </c>
      <c r="M106" s="31" t="s">
        <v>19</v>
      </c>
      <c r="N106" s="30" t="s">
        <v>145</v>
      </c>
      <c r="O106" s="30" t="s">
        <v>152</v>
      </c>
      <c r="P106" s="30" t="s">
        <v>625</v>
      </c>
      <c r="Q106" s="32" t="s">
        <v>32</v>
      </c>
      <c r="R106" s="32" t="s">
        <v>765</v>
      </c>
      <c r="S106" s="49" t="s">
        <v>501</v>
      </c>
      <c r="T106" s="2" t="str">
        <f>VLOOKUP(S106,[1]Servicios!$B:$C,2,0)</f>
        <v>INMUNOLOGÍA</v>
      </c>
      <c r="U106" s="2" t="s">
        <v>419</v>
      </c>
    </row>
    <row r="107" spans="1:21" ht="76.5" hidden="1" x14ac:dyDescent="0.25">
      <c r="A107" s="25" t="s">
        <v>66</v>
      </c>
      <c r="B107" s="26" t="s">
        <v>424</v>
      </c>
      <c r="C107" s="27" t="s">
        <v>446</v>
      </c>
      <c r="D107" s="28" t="s">
        <v>875</v>
      </c>
      <c r="E107" s="29" t="s">
        <v>425</v>
      </c>
      <c r="F107" s="29" t="s">
        <v>426</v>
      </c>
      <c r="G107" s="29" t="s">
        <v>427</v>
      </c>
      <c r="H107" s="29" t="s">
        <v>617</v>
      </c>
      <c r="I107" s="29" t="s">
        <v>428</v>
      </c>
      <c r="J107" s="30" t="s">
        <v>617</v>
      </c>
      <c r="K107" s="31" t="s">
        <v>18</v>
      </c>
      <c r="L107" s="31" t="s">
        <v>624</v>
      </c>
      <c r="M107" s="31" t="s">
        <v>19</v>
      </c>
      <c r="N107" s="30" t="s">
        <v>145</v>
      </c>
      <c r="O107" s="30" t="s">
        <v>152</v>
      </c>
      <c r="P107" s="30" t="s">
        <v>625</v>
      </c>
      <c r="Q107" s="32" t="s">
        <v>32</v>
      </c>
      <c r="R107" s="32" t="s">
        <v>765</v>
      </c>
      <c r="S107" s="49" t="s">
        <v>502</v>
      </c>
      <c r="T107" s="2" t="str">
        <f>VLOOKUP(S107,[1]Servicios!$B:$C,2,0)</f>
        <v>MEDICINA DEL TRABAJO Y MEDICINA LABORAL</v>
      </c>
      <c r="U107" s="2" t="s">
        <v>424</v>
      </c>
    </row>
    <row r="108" spans="1:21" ht="63.75" hidden="1" x14ac:dyDescent="0.25">
      <c r="A108" s="25" t="s">
        <v>66</v>
      </c>
      <c r="B108" s="26" t="s">
        <v>157</v>
      </c>
      <c r="C108" s="27" t="s">
        <v>447</v>
      </c>
      <c r="D108" s="28" t="s">
        <v>876</v>
      </c>
      <c r="E108" s="29" t="s">
        <v>219</v>
      </c>
      <c r="F108" s="29" t="s">
        <v>158</v>
      </c>
      <c r="G108" s="29" t="s">
        <v>159</v>
      </c>
      <c r="H108" s="29" t="s">
        <v>617</v>
      </c>
      <c r="I108" s="29" t="s">
        <v>160</v>
      </c>
      <c r="J108" s="30" t="s">
        <v>617</v>
      </c>
      <c r="K108" s="31" t="s">
        <v>18</v>
      </c>
      <c r="L108" s="31" t="s">
        <v>621</v>
      </c>
      <c r="M108" s="31" t="s">
        <v>19</v>
      </c>
      <c r="N108" s="30" t="s">
        <v>145</v>
      </c>
      <c r="O108" s="30" t="s">
        <v>152</v>
      </c>
      <c r="P108" s="30" t="s">
        <v>625</v>
      </c>
      <c r="Q108" s="32" t="s">
        <v>32</v>
      </c>
      <c r="R108" s="32" t="s">
        <v>765</v>
      </c>
      <c r="S108" s="49" t="s">
        <v>503</v>
      </c>
      <c r="T108" s="2" t="str">
        <f>VLOOKUP(S108,[1]Servicios!$B:$C,2,0)</f>
        <v>CIRUGÍA GENERAL</v>
      </c>
      <c r="U108" s="2" t="s">
        <v>157</v>
      </c>
    </row>
    <row r="109" spans="1:21" ht="63.75" hidden="1" x14ac:dyDescent="0.25">
      <c r="A109" s="25" t="s">
        <v>66</v>
      </c>
      <c r="B109" s="26" t="s">
        <v>161</v>
      </c>
      <c r="C109" s="27" t="s">
        <v>448</v>
      </c>
      <c r="D109" s="28" t="s">
        <v>877</v>
      </c>
      <c r="E109" s="29" t="s">
        <v>162</v>
      </c>
      <c r="F109" s="29" t="s">
        <v>320</v>
      </c>
      <c r="G109" s="29" t="s">
        <v>163</v>
      </c>
      <c r="H109" s="29" t="s">
        <v>617</v>
      </c>
      <c r="I109" s="29" t="s">
        <v>164</v>
      </c>
      <c r="J109" s="30" t="s">
        <v>617</v>
      </c>
      <c r="K109" s="31" t="s">
        <v>18</v>
      </c>
      <c r="L109" s="31" t="s">
        <v>624</v>
      </c>
      <c r="M109" s="31" t="s">
        <v>19</v>
      </c>
      <c r="N109" s="30" t="s">
        <v>145</v>
      </c>
      <c r="O109" s="30" t="s">
        <v>165</v>
      </c>
      <c r="P109" s="30" t="s">
        <v>625</v>
      </c>
      <c r="Q109" s="32" t="s">
        <v>32</v>
      </c>
      <c r="R109" s="32" t="s">
        <v>765</v>
      </c>
      <c r="S109" s="49" t="s">
        <v>454</v>
      </c>
      <c r="T109" s="2" t="str">
        <f>VLOOKUP(S109,[1]Servicios!$B:$C,2,0)</f>
        <v>IMÁGENES DIAGNOSTICAS - NO IONIZANTES</v>
      </c>
      <c r="U109" s="2" t="s">
        <v>161</v>
      </c>
    </row>
    <row r="110" spans="1:21" ht="63.75" hidden="1" x14ac:dyDescent="0.25">
      <c r="A110" s="25" t="s">
        <v>66</v>
      </c>
      <c r="B110" s="26" t="s">
        <v>166</v>
      </c>
      <c r="C110" s="27" t="s">
        <v>449</v>
      </c>
      <c r="D110" s="28" t="s">
        <v>878</v>
      </c>
      <c r="E110" s="29" t="s">
        <v>167</v>
      </c>
      <c r="F110" s="29" t="s">
        <v>168</v>
      </c>
      <c r="G110" s="29" t="s">
        <v>169</v>
      </c>
      <c r="H110" s="29" t="s">
        <v>617</v>
      </c>
      <c r="I110" s="29" t="s">
        <v>170</v>
      </c>
      <c r="J110" s="30" t="s">
        <v>617</v>
      </c>
      <c r="K110" s="31" t="s">
        <v>18</v>
      </c>
      <c r="L110" s="31" t="s">
        <v>624</v>
      </c>
      <c r="M110" s="31" t="s">
        <v>19</v>
      </c>
      <c r="N110" s="30" t="s">
        <v>145</v>
      </c>
      <c r="O110" s="30" t="s">
        <v>171</v>
      </c>
      <c r="P110" s="30" t="s">
        <v>625</v>
      </c>
      <c r="Q110" s="32" t="s">
        <v>32</v>
      </c>
      <c r="R110" s="32" t="s">
        <v>765</v>
      </c>
      <c r="S110" s="49" t="s">
        <v>454</v>
      </c>
      <c r="T110" s="2" t="str">
        <f>VLOOKUP(S110,[1]Servicios!$B:$C,2,0)</f>
        <v>IMÁGENES DIAGNOSTICAS - NO IONIZANTES</v>
      </c>
      <c r="U110" s="2" t="s">
        <v>161</v>
      </c>
    </row>
    <row r="111" spans="1:21" s="2" customFormat="1" ht="63.75" hidden="1" x14ac:dyDescent="0.25">
      <c r="A111" s="25" t="s">
        <v>66</v>
      </c>
      <c r="B111" s="26" t="s">
        <v>172</v>
      </c>
      <c r="C111" s="27" t="s">
        <v>450</v>
      </c>
      <c r="D111" s="28" t="s">
        <v>880</v>
      </c>
      <c r="E111" s="29" t="s">
        <v>173</v>
      </c>
      <c r="F111" s="29" t="s">
        <v>174</v>
      </c>
      <c r="G111" s="29" t="s">
        <v>175</v>
      </c>
      <c r="H111" s="29" t="s">
        <v>617</v>
      </c>
      <c r="I111" s="29" t="s">
        <v>176</v>
      </c>
      <c r="J111" s="30" t="s">
        <v>617</v>
      </c>
      <c r="K111" s="27" t="s">
        <v>177</v>
      </c>
      <c r="L111" s="31" t="s">
        <v>618</v>
      </c>
      <c r="M111" s="31" t="s">
        <v>19</v>
      </c>
      <c r="N111" s="30" t="s">
        <v>619</v>
      </c>
      <c r="O111" s="30" t="s">
        <v>178</v>
      </c>
      <c r="P111" s="30" t="s">
        <v>625</v>
      </c>
      <c r="Q111" s="32" t="s">
        <v>32</v>
      </c>
      <c r="R111" s="32" t="s">
        <v>765</v>
      </c>
      <c r="S111" s="49" t="s">
        <v>455</v>
      </c>
      <c r="T111" s="2" t="str">
        <f>VLOOKUP(S111,[1]Servicios!$B:$C,2,0)</f>
        <v>URGENCIAS</v>
      </c>
      <c r="U111" s="2" t="s">
        <v>172</v>
      </c>
    </row>
    <row r="112" spans="1:21" ht="204" hidden="1" x14ac:dyDescent="0.25">
      <c r="A112" s="25" t="s">
        <v>66</v>
      </c>
      <c r="B112" s="26" t="s">
        <v>179</v>
      </c>
      <c r="C112" s="27" t="s">
        <v>451</v>
      </c>
      <c r="D112" s="28" t="s">
        <v>879</v>
      </c>
      <c r="E112" s="29" t="s">
        <v>180</v>
      </c>
      <c r="F112" s="29" t="s">
        <v>181</v>
      </c>
      <c r="G112" s="29" t="s">
        <v>182</v>
      </c>
      <c r="H112" s="29" t="s">
        <v>617</v>
      </c>
      <c r="I112" s="29" t="s">
        <v>183</v>
      </c>
      <c r="J112" s="30" t="s">
        <v>617</v>
      </c>
      <c r="K112" s="27" t="s">
        <v>184</v>
      </c>
      <c r="L112" s="35">
        <v>0.95</v>
      </c>
      <c r="M112" s="31" t="s">
        <v>19</v>
      </c>
      <c r="N112" s="30" t="s">
        <v>185</v>
      </c>
      <c r="O112" s="30" t="s">
        <v>186</v>
      </c>
      <c r="P112" s="36" t="s">
        <v>657</v>
      </c>
      <c r="Q112" s="37" t="s">
        <v>32</v>
      </c>
      <c r="R112" s="32" t="s">
        <v>765</v>
      </c>
      <c r="S112" s="49" t="s">
        <v>583</v>
      </c>
      <c r="T112" s="2" t="e">
        <f>VLOOKUP(S112,[1]Servicios!$B:$C,2,0)</f>
        <v>#N/A</v>
      </c>
      <c r="U112" s="2" t="s">
        <v>578</v>
      </c>
    </row>
    <row r="113" spans="1:21" ht="63.75" hidden="1" x14ac:dyDescent="0.25">
      <c r="A113" s="25" t="s">
        <v>577</v>
      </c>
      <c r="B113" s="26" t="s">
        <v>578</v>
      </c>
      <c r="C113" s="27" t="s">
        <v>580</v>
      </c>
      <c r="D113" s="28" t="s">
        <v>887</v>
      </c>
      <c r="E113" s="29" t="s">
        <v>767</v>
      </c>
      <c r="F113" s="29" t="s">
        <v>768</v>
      </c>
      <c r="G113" s="29" t="s">
        <v>588</v>
      </c>
      <c r="H113" s="29" t="s">
        <v>611</v>
      </c>
      <c r="I113" s="29" t="s">
        <v>587</v>
      </c>
      <c r="J113" s="30" t="s">
        <v>611</v>
      </c>
      <c r="K113" s="31" t="s">
        <v>584</v>
      </c>
      <c r="L113" s="31" t="s">
        <v>586</v>
      </c>
      <c r="M113" s="32" t="s">
        <v>585</v>
      </c>
      <c r="N113" s="30" t="s">
        <v>814</v>
      </c>
      <c r="O113" s="30" t="s">
        <v>589</v>
      </c>
      <c r="P113" s="30" t="s">
        <v>582</v>
      </c>
      <c r="Q113" s="30" t="s">
        <v>613</v>
      </c>
      <c r="R113" s="32" t="s">
        <v>765</v>
      </c>
      <c r="S113" s="49" t="s">
        <v>583</v>
      </c>
      <c r="T113" s="2" t="e">
        <f>VLOOKUP(S113,[1]Servicios!$B:$C,2,0)</f>
        <v>#N/A</v>
      </c>
      <c r="U113" s="2" t="s">
        <v>578</v>
      </c>
    </row>
    <row r="114" spans="1:21" ht="51" hidden="1" x14ac:dyDescent="0.25">
      <c r="A114" s="25" t="s">
        <v>577</v>
      </c>
      <c r="B114" s="26" t="s">
        <v>590</v>
      </c>
      <c r="C114" s="27" t="s">
        <v>580</v>
      </c>
      <c r="D114" s="28" t="s">
        <v>888</v>
      </c>
      <c r="E114" s="29" t="s">
        <v>769</v>
      </c>
      <c r="F114" s="29" t="s">
        <v>770</v>
      </c>
      <c r="G114" s="29" t="s">
        <v>592</v>
      </c>
      <c r="H114" s="29" t="s">
        <v>611</v>
      </c>
      <c r="I114" s="29" t="s">
        <v>593</v>
      </c>
      <c r="J114" s="30" t="s">
        <v>611</v>
      </c>
      <c r="K114" s="31" t="s">
        <v>595</v>
      </c>
      <c r="L114" s="31" t="s">
        <v>594</v>
      </c>
      <c r="M114" s="32" t="s">
        <v>585</v>
      </c>
      <c r="N114" s="30" t="s">
        <v>814</v>
      </c>
      <c r="O114" s="30" t="s">
        <v>589</v>
      </c>
      <c r="P114" s="30" t="s">
        <v>596</v>
      </c>
      <c r="Q114" s="30" t="s">
        <v>614</v>
      </c>
      <c r="R114" s="32" t="s">
        <v>765</v>
      </c>
      <c r="S114" s="49" t="s">
        <v>583</v>
      </c>
      <c r="T114" s="2" t="e">
        <f>VLOOKUP(S114,[1]Servicios!$B:$C,2,0)</f>
        <v>#N/A</v>
      </c>
      <c r="U114" s="2" t="s">
        <v>578</v>
      </c>
    </row>
    <row r="115" spans="1:21" ht="63.75" hidden="1" x14ac:dyDescent="0.25">
      <c r="A115" s="25" t="s">
        <v>577</v>
      </c>
      <c r="B115" s="26" t="s">
        <v>597</v>
      </c>
      <c r="C115" s="27" t="s">
        <v>580</v>
      </c>
      <c r="D115" s="28" t="s">
        <v>889</v>
      </c>
      <c r="E115" s="29" t="s">
        <v>771</v>
      </c>
      <c r="F115" s="29" t="s">
        <v>772</v>
      </c>
      <c r="G115" s="29" t="s">
        <v>599</v>
      </c>
      <c r="H115" s="29" t="s">
        <v>611</v>
      </c>
      <c r="I115" s="29" t="s">
        <v>600</v>
      </c>
      <c r="J115" s="30" t="s">
        <v>611</v>
      </c>
      <c r="K115" s="32" t="s">
        <v>601</v>
      </c>
      <c r="L115" s="31" t="s">
        <v>602</v>
      </c>
      <c r="M115" s="32" t="s">
        <v>585</v>
      </c>
      <c r="N115" s="30" t="s">
        <v>814</v>
      </c>
      <c r="O115" s="30" t="s">
        <v>589</v>
      </c>
      <c r="P115" s="30" t="s">
        <v>603</v>
      </c>
      <c r="Q115" s="30" t="s">
        <v>615</v>
      </c>
      <c r="R115" s="32" t="s">
        <v>765</v>
      </c>
      <c r="S115" s="49" t="s">
        <v>583</v>
      </c>
      <c r="T115" s="2" t="e">
        <f>VLOOKUP(S115,[1]Servicios!$B:$C,2,0)</f>
        <v>#N/A</v>
      </c>
      <c r="U115" s="2" t="s">
        <v>578</v>
      </c>
    </row>
    <row r="116" spans="1:21" ht="63.75" hidden="1" x14ac:dyDescent="0.25">
      <c r="A116" s="25" t="s">
        <v>577</v>
      </c>
      <c r="B116" s="26" t="s">
        <v>604</v>
      </c>
      <c r="C116" s="27" t="s">
        <v>580</v>
      </c>
      <c r="D116" s="28" t="s">
        <v>890</v>
      </c>
      <c r="E116" s="29" t="s">
        <v>773</v>
      </c>
      <c r="F116" s="29" t="s">
        <v>606</v>
      </c>
      <c r="G116" s="29" t="s">
        <v>606</v>
      </c>
      <c r="H116" s="29" t="s">
        <v>607</v>
      </c>
      <c r="I116" s="29" t="s">
        <v>580</v>
      </c>
      <c r="J116" s="30" t="s">
        <v>580</v>
      </c>
      <c r="K116" s="31" t="s">
        <v>608</v>
      </c>
      <c r="L116" s="27" t="s">
        <v>609</v>
      </c>
      <c r="M116" s="32" t="s">
        <v>585</v>
      </c>
      <c r="N116" s="30" t="s">
        <v>814</v>
      </c>
      <c r="O116" s="30" t="s">
        <v>589</v>
      </c>
      <c r="P116" s="30" t="s">
        <v>610</v>
      </c>
      <c r="Q116" s="30" t="s">
        <v>616</v>
      </c>
      <c r="R116" s="32" t="s">
        <v>765</v>
      </c>
      <c r="S116" s="49" t="s">
        <v>583</v>
      </c>
      <c r="T116" s="2" t="e">
        <f>VLOOKUP(S116,[1]Servicios!$B:$C,2,0)</f>
        <v>#N/A</v>
      </c>
      <c r="U116" s="2" t="s">
        <v>578</v>
      </c>
    </row>
    <row r="117" spans="1:21" ht="382.5" x14ac:dyDescent="0.25">
      <c r="A117" s="25" t="s">
        <v>626</v>
      </c>
      <c r="B117" s="26" t="s">
        <v>627</v>
      </c>
      <c r="C117" s="27" t="s">
        <v>580</v>
      </c>
      <c r="D117" s="28" t="s">
        <v>891</v>
      </c>
      <c r="E117" s="29" t="s">
        <v>774</v>
      </c>
      <c r="F117" s="29" t="s">
        <v>775</v>
      </c>
      <c r="G117" s="29" t="s">
        <v>629</v>
      </c>
      <c r="H117" s="29" t="s">
        <v>630</v>
      </c>
      <c r="I117" s="29" t="s">
        <v>637</v>
      </c>
      <c r="J117" s="30" t="s">
        <v>638</v>
      </c>
      <c r="K117" s="32" t="s">
        <v>632</v>
      </c>
      <c r="L117" s="37">
        <v>1</v>
      </c>
      <c r="M117" s="37" t="s">
        <v>633</v>
      </c>
      <c r="N117" s="30" t="s">
        <v>815</v>
      </c>
      <c r="O117" s="36" t="s">
        <v>634</v>
      </c>
      <c r="P117" s="36" t="s">
        <v>639</v>
      </c>
      <c r="Q117" s="36" t="s">
        <v>635</v>
      </c>
      <c r="R117" s="32" t="s">
        <v>765</v>
      </c>
      <c r="S117" s="49" t="s">
        <v>823</v>
      </c>
      <c r="T117" s="2" t="e">
        <f>VLOOKUP(S117,[1]Servicios!$B:$C,2,0)</f>
        <v>#N/A</v>
      </c>
      <c r="U117" s="2" t="s">
        <v>979</v>
      </c>
    </row>
    <row r="118" spans="1:21" ht="318.75" x14ac:dyDescent="0.25">
      <c r="A118" s="25" t="s">
        <v>626</v>
      </c>
      <c r="B118" s="26" t="s">
        <v>640</v>
      </c>
      <c r="C118" s="27" t="s">
        <v>580</v>
      </c>
      <c r="D118" s="28" t="s">
        <v>892</v>
      </c>
      <c r="E118" s="29" t="s">
        <v>774</v>
      </c>
      <c r="F118" s="29" t="s">
        <v>776</v>
      </c>
      <c r="G118" s="29" t="s">
        <v>641</v>
      </c>
      <c r="H118" s="29" t="s">
        <v>630</v>
      </c>
      <c r="I118" s="38" t="s">
        <v>637</v>
      </c>
      <c r="J118" s="30" t="s">
        <v>638</v>
      </c>
      <c r="K118" s="32" t="s">
        <v>632</v>
      </c>
      <c r="L118" s="37">
        <v>1</v>
      </c>
      <c r="M118" s="37" t="s">
        <v>633</v>
      </c>
      <c r="N118" s="30" t="s">
        <v>816</v>
      </c>
      <c r="O118" s="36" t="s">
        <v>634</v>
      </c>
      <c r="P118" s="36" t="s">
        <v>643</v>
      </c>
      <c r="Q118" s="36" t="s">
        <v>642</v>
      </c>
      <c r="R118" s="32" t="s">
        <v>765</v>
      </c>
      <c r="S118" s="49" t="s">
        <v>824</v>
      </c>
      <c r="T118" s="2" t="e">
        <f>VLOOKUP(S118,[1]Servicios!$B:$C,2,0)</f>
        <v>#N/A</v>
      </c>
      <c r="U118" s="2" t="s">
        <v>979</v>
      </c>
    </row>
    <row r="119" spans="1:21" ht="102" hidden="1" x14ac:dyDescent="0.25">
      <c r="A119" s="25" t="s">
        <v>66</v>
      </c>
      <c r="B119" s="26" t="s">
        <v>645</v>
      </c>
      <c r="C119" s="27" t="s">
        <v>580</v>
      </c>
      <c r="D119" s="28" t="s">
        <v>893</v>
      </c>
      <c r="E119" s="32" t="s">
        <v>777</v>
      </c>
      <c r="F119" s="29" t="s">
        <v>778</v>
      </c>
      <c r="G119" s="29" t="s">
        <v>647</v>
      </c>
      <c r="H119" s="29" t="s">
        <v>649</v>
      </c>
      <c r="I119" s="29" t="s">
        <v>648</v>
      </c>
      <c r="J119" s="30" t="s">
        <v>638</v>
      </c>
      <c r="K119" s="32" t="s">
        <v>632</v>
      </c>
      <c r="L119" s="37" t="s">
        <v>650</v>
      </c>
      <c r="M119" s="37" t="s">
        <v>633</v>
      </c>
      <c r="N119" s="30" t="s">
        <v>817</v>
      </c>
      <c r="O119" s="30" t="s">
        <v>32</v>
      </c>
      <c r="P119" s="36" t="s">
        <v>651</v>
      </c>
      <c r="Q119" s="37" t="s">
        <v>32</v>
      </c>
      <c r="R119" s="32" t="s">
        <v>765</v>
      </c>
      <c r="S119" s="49" t="s">
        <v>825</v>
      </c>
      <c r="T119" s="2" t="e">
        <f>VLOOKUP(S119,[1]Servicios!$B:$C,2,0)</f>
        <v>#N/A</v>
      </c>
      <c r="U119" s="2" t="s">
        <v>979</v>
      </c>
    </row>
    <row r="120" spans="1:21" ht="204" hidden="1" x14ac:dyDescent="0.25">
      <c r="A120" s="25" t="s">
        <v>66</v>
      </c>
      <c r="B120" s="26" t="s">
        <v>652</v>
      </c>
      <c r="C120" s="27" t="s">
        <v>631</v>
      </c>
      <c r="D120" s="28" t="s">
        <v>894</v>
      </c>
      <c r="E120" s="32" t="s">
        <v>777</v>
      </c>
      <c r="F120" s="29" t="s">
        <v>779</v>
      </c>
      <c r="G120" s="29" t="s">
        <v>654</v>
      </c>
      <c r="H120" s="29" t="s">
        <v>656</v>
      </c>
      <c r="I120" s="29" t="s">
        <v>655</v>
      </c>
      <c r="J120" s="30" t="s">
        <v>656</v>
      </c>
      <c r="K120" s="32" t="s">
        <v>632</v>
      </c>
      <c r="L120" s="37">
        <v>0.95</v>
      </c>
      <c r="M120" s="37" t="s">
        <v>633</v>
      </c>
      <c r="N120" s="30" t="s">
        <v>818</v>
      </c>
      <c r="O120" s="30" t="s">
        <v>32</v>
      </c>
      <c r="P120" s="36" t="s">
        <v>657</v>
      </c>
      <c r="Q120" s="37" t="s">
        <v>658</v>
      </c>
      <c r="R120" s="32" t="s">
        <v>765</v>
      </c>
      <c r="S120" s="49" t="s">
        <v>826</v>
      </c>
      <c r="T120" s="2" t="e">
        <f>VLOOKUP(S120,[1]Servicios!$B:$C,2,0)</f>
        <v>#N/A</v>
      </c>
      <c r="U120" s="2" t="s">
        <v>979</v>
      </c>
    </row>
    <row r="121" spans="1:21" ht="191.25" hidden="1" x14ac:dyDescent="0.25">
      <c r="A121" s="25" t="s">
        <v>626</v>
      </c>
      <c r="B121" s="26" t="s">
        <v>827</v>
      </c>
      <c r="C121" s="27" t="s">
        <v>631</v>
      </c>
      <c r="D121" s="28" t="s">
        <v>895</v>
      </c>
      <c r="E121" s="29" t="s">
        <v>780</v>
      </c>
      <c r="F121" s="29" t="s">
        <v>781</v>
      </c>
      <c r="G121" s="29" t="s">
        <v>660</v>
      </c>
      <c r="H121" s="29" t="s">
        <v>661</v>
      </c>
      <c r="I121" s="29" t="s">
        <v>663</v>
      </c>
      <c r="J121" s="30" t="s">
        <v>664</v>
      </c>
      <c r="K121" s="32" t="s">
        <v>632</v>
      </c>
      <c r="L121" s="37">
        <v>0.98</v>
      </c>
      <c r="M121" s="37" t="s">
        <v>633</v>
      </c>
      <c r="N121" s="30" t="s">
        <v>819</v>
      </c>
      <c r="O121" s="30" t="s">
        <v>665</v>
      </c>
      <c r="P121" s="36" t="s">
        <v>666</v>
      </c>
      <c r="Q121" s="37" t="s">
        <v>667</v>
      </c>
      <c r="R121" s="32" t="s">
        <v>765</v>
      </c>
      <c r="S121" s="49" t="s">
        <v>828</v>
      </c>
      <c r="T121" s="2" t="e">
        <f>VLOOKUP(S121,[1]Servicios!$B:$C,2,0)</f>
        <v>#N/A</v>
      </c>
      <c r="U121" s="2" t="s">
        <v>827</v>
      </c>
    </row>
    <row r="122" spans="1:21" ht="267.75" hidden="1" x14ac:dyDescent="0.25">
      <c r="A122" s="25" t="s">
        <v>678</v>
      </c>
      <c r="B122" s="26" t="s">
        <v>669</v>
      </c>
      <c r="C122" s="27" t="s">
        <v>631</v>
      </c>
      <c r="D122" s="28" t="s">
        <v>896</v>
      </c>
      <c r="E122" s="32" t="s">
        <v>777</v>
      </c>
      <c r="F122" s="29" t="s">
        <v>782</v>
      </c>
      <c r="G122" s="29" t="s">
        <v>670</v>
      </c>
      <c r="H122" s="29" t="s">
        <v>671</v>
      </c>
      <c r="I122" s="29" t="s">
        <v>672</v>
      </c>
      <c r="J122" s="30" t="s">
        <v>671</v>
      </c>
      <c r="K122" s="32" t="s">
        <v>632</v>
      </c>
      <c r="L122" s="37">
        <v>0.98</v>
      </c>
      <c r="M122" s="37" t="s">
        <v>633</v>
      </c>
      <c r="N122" s="30"/>
      <c r="O122" s="30" t="s">
        <v>673</v>
      </c>
      <c r="P122" s="36" t="s">
        <v>674</v>
      </c>
      <c r="Q122" s="37" t="s">
        <v>675</v>
      </c>
      <c r="R122" s="32" t="s">
        <v>765</v>
      </c>
      <c r="S122" s="49" t="s">
        <v>829</v>
      </c>
      <c r="T122" s="2" t="e">
        <f>VLOOKUP(S122,[1]Servicios!$B:$C,2,0)</f>
        <v>#N/A</v>
      </c>
      <c r="U122" s="2" t="s">
        <v>980</v>
      </c>
    </row>
    <row r="123" spans="1:21" ht="204" hidden="1" x14ac:dyDescent="0.25">
      <c r="A123" s="25" t="s">
        <v>644</v>
      </c>
      <c r="B123" s="26" t="s">
        <v>676</v>
      </c>
      <c r="C123" s="27" t="s">
        <v>631</v>
      </c>
      <c r="D123" s="28" t="s">
        <v>897</v>
      </c>
      <c r="E123" s="32" t="s">
        <v>777</v>
      </c>
      <c r="F123" s="29" t="s">
        <v>679</v>
      </c>
      <c r="G123" s="29" t="s">
        <v>679</v>
      </c>
      <c r="H123" s="29" t="s">
        <v>680</v>
      </c>
      <c r="I123" s="29" t="s">
        <v>631</v>
      </c>
      <c r="J123" s="30" t="s">
        <v>631</v>
      </c>
      <c r="K123" s="32" t="s">
        <v>681</v>
      </c>
      <c r="L123" s="32">
        <v>0</v>
      </c>
      <c r="M123" s="37" t="s">
        <v>633</v>
      </c>
      <c r="N123" s="30" t="s">
        <v>819</v>
      </c>
      <c r="O123" s="30" t="s">
        <v>32</v>
      </c>
      <c r="P123" s="30" t="s">
        <v>682</v>
      </c>
      <c r="Q123" s="37" t="s">
        <v>32</v>
      </c>
      <c r="R123" s="32" t="s">
        <v>765</v>
      </c>
      <c r="S123" s="49" t="s">
        <v>830</v>
      </c>
      <c r="T123" s="2" t="e">
        <f>VLOOKUP(S123,[1]Servicios!$B:$C,2,0)</f>
        <v>#N/A</v>
      </c>
      <c r="U123" s="2" t="s">
        <v>676</v>
      </c>
    </row>
    <row r="124" spans="1:21" ht="127.5" hidden="1" x14ac:dyDescent="0.25">
      <c r="A124" s="25" t="s">
        <v>626</v>
      </c>
      <c r="B124" s="26" t="s">
        <v>766</v>
      </c>
      <c r="C124" s="27" t="s">
        <v>631</v>
      </c>
      <c r="D124" s="28" t="s">
        <v>898</v>
      </c>
      <c r="E124" s="32" t="s">
        <v>777</v>
      </c>
      <c r="F124" s="29" t="s">
        <v>783</v>
      </c>
      <c r="G124" s="29" t="s">
        <v>684</v>
      </c>
      <c r="H124" s="29" t="s">
        <v>685</v>
      </c>
      <c r="I124" s="29" t="s">
        <v>662</v>
      </c>
      <c r="J124" s="30" t="s">
        <v>685</v>
      </c>
      <c r="K124" s="32" t="s">
        <v>681</v>
      </c>
      <c r="L124" s="37">
        <v>0.01</v>
      </c>
      <c r="M124" s="37" t="s">
        <v>633</v>
      </c>
      <c r="N124" s="30" t="s">
        <v>819</v>
      </c>
      <c r="O124" s="30" t="s">
        <v>686</v>
      </c>
      <c r="P124" s="30" t="s">
        <v>688</v>
      </c>
      <c r="Q124" s="37" t="s">
        <v>687</v>
      </c>
      <c r="R124" s="32" t="s">
        <v>765</v>
      </c>
      <c r="S124" s="49" t="s">
        <v>831</v>
      </c>
      <c r="T124" s="2" t="e">
        <f>VLOOKUP(S124,[1]Servicios!$B:$C,2,0)</f>
        <v>#N/A</v>
      </c>
      <c r="U124" s="2" t="s">
        <v>766</v>
      </c>
    </row>
    <row r="125" spans="1:21" ht="382.5" hidden="1" x14ac:dyDescent="0.25">
      <c r="A125" s="25" t="s">
        <v>626</v>
      </c>
      <c r="B125" s="26" t="s">
        <v>689</v>
      </c>
      <c r="C125" s="27" t="s">
        <v>631</v>
      </c>
      <c r="D125" s="28" t="s">
        <v>899</v>
      </c>
      <c r="E125" s="29" t="s">
        <v>784</v>
      </c>
      <c r="F125" s="29" t="s">
        <v>785</v>
      </c>
      <c r="G125" s="29" t="s">
        <v>691</v>
      </c>
      <c r="H125" s="29" t="s">
        <v>692</v>
      </c>
      <c r="I125" s="29" t="s">
        <v>693</v>
      </c>
      <c r="J125" s="30" t="s">
        <v>692</v>
      </c>
      <c r="K125" s="32" t="s">
        <v>694</v>
      </c>
      <c r="L125" s="37">
        <v>1</v>
      </c>
      <c r="M125" s="37" t="s">
        <v>633</v>
      </c>
      <c r="N125" s="30" t="s">
        <v>820</v>
      </c>
      <c r="O125" s="30" t="s">
        <v>695</v>
      </c>
      <c r="P125" s="30" t="s">
        <v>696</v>
      </c>
      <c r="Q125" s="37" t="s">
        <v>697</v>
      </c>
      <c r="R125" s="32" t="s">
        <v>765</v>
      </c>
      <c r="S125" s="49" t="s">
        <v>963</v>
      </c>
      <c r="T125" s="2" t="str">
        <f>VLOOKUP(S125,[1]Servicios!$B:$C,2,0)</f>
        <v>VACUNACIÓN</v>
      </c>
      <c r="U125" s="2" t="s">
        <v>979</v>
      </c>
    </row>
    <row r="126" spans="1:21" ht="382.5" hidden="1" x14ac:dyDescent="0.25">
      <c r="A126" s="25" t="s">
        <v>626</v>
      </c>
      <c r="B126" s="26" t="s">
        <v>689</v>
      </c>
      <c r="C126" s="27" t="s">
        <v>631</v>
      </c>
      <c r="D126" s="28" t="s">
        <v>900</v>
      </c>
      <c r="E126" s="29" t="s">
        <v>784</v>
      </c>
      <c r="F126" s="29" t="s">
        <v>785</v>
      </c>
      <c r="G126" s="29" t="s">
        <v>691</v>
      </c>
      <c r="H126" s="29" t="s">
        <v>692</v>
      </c>
      <c r="I126" s="29" t="s">
        <v>693</v>
      </c>
      <c r="J126" s="30" t="s">
        <v>692</v>
      </c>
      <c r="K126" s="32" t="s">
        <v>694</v>
      </c>
      <c r="L126" s="37">
        <v>1</v>
      </c>
      <c r="M126" s="37" t="s">
        <v>633</v>
      </c>
      <c r="N126" s="30" t="s">
        <v>820</v>
      </c>
      <c r="O126" s="30" t="s">
        <v>695</v>
      </c>
      <c r="P126" s="30" t="s">
        <v>696</v>
      </c>
      <c r="Q126" s="37" t="s">
        <v>697</v>
      </c>
      <c r="R126" s="32" t="s">
        <v>765</v>
      </c>
      <c r="S126" s="49" t="s">
        <v>964</v>
      </c>
      <c r="T126" s="2" t="str">
        <f>VLOOKUP(S126,[1]Servicios!$B:$C,2,0)</f>
        <v>TOMA DE MUESTRAS DE LABORATORIO CLÍNICO</v>
      </c>
      <c r="U126" s="2" t="s">
        <v>979</v>
      </c>
    </row>
    <row r="127" spans="1:21" ht="382.5" hidden="1" x14ac:dyDescent="0.25">
      <c r="A127" s="25" t="s">
        <v>626</v>
      </c>
      <c r="B127" s="26" t="s">
        <v>689</v>
      </c>
      <c r="C127" s="27" t="s">
        <v>631</v>
      </c>
      <c r="D127" s="28" t="s">
        <v>901</v>
      </c>
      <c r="E127" s="29" t="s">
        <v>784</v>
      </c>
      <c r="F127" s="29" t="s">
        <v>785</v>
      </c>
      <c r="G127" s="29" t="s">
        <v>691</v>
      </c>
      <c r="H127" s="29" t="s">
        <v>692</v>
      </c>
      <c r="I127" s="29" t="s">
        <v>693</v>
      </c>
      <c r="J127" s="30" t="s">
        <v>692</v>
      </c>
      <c r="K127" s="32" t="s">
        <v>694</v>
      </c>
      <c r="L127" s="37">
        <v>1</v>
      </c>
      <c r="M127" s="37" t="s">
        <v>633</v>
      </c>
      <c r="N127" s="30" t="s">
        <v>820</v>
      </c>
      <c r="O127" s="30" t="s">
        <v>695</v>
      </c>
      <c r="P127" s="30" t="s">
        <v>696</v>
      </c>
      <c r="Q127" s="37" t="s">
        <v>697</v>
      </c>
      <c r="R127" s="32" t="s">
        <v>765</v>
      </c>
      <c r="S127" s="49" t="s">
        <v>965</v>
      </c>
      <c r="T127" s="2" t="str">
        <f>VLOOKUP(S127,[1]Servicios!$B:$C,2,0)</f>
        <v>LABORATORIO DE HISTOTECNOLOGÍA</v>
      </c>
      <c r="U127" s="2" t="s">
        <v>979</v>
      </c>
    </row>
    <row r="128" spans="1:21" ht="382.5" hidden="1" x14ac:dyDescent="0.25">
      <c r="A128" s="25" t="s">
        <v>626</v>
      </c>
      <c r="B128" s="26" t="s">
        <v>698</v>
      </c>
      <c r="C128" s="27" t="s">
        <v>631</v>
      </c>
      <c r="D128" s="28" t="s">
        <v>902</v>
      </c>
      <c r="E128" s="29" t="s">
        <v>784</v>
      </c>
      <c r="F128" s="29" t="s">
        <v>786</v>
      </c>
      <c r="G128" s="29" t="s">
        <v>700</v>
      </c>
      <c r="H128" s="29" t="s">
        <v>702</v>
      </c>
      <c r="I128" s="29" t="s">
        <v>701</v>
      </c>
      <c r="J128" s="30" t="s">
        <v>702</v>
      </c>
      <c r="K128" s="32" t="s">
        <v>694</v>
      </c>
      <c r="L128" s="37">
        <v>1</v>
      </c>
      <c r="M128" s="37" t="s">
        <v>633</v>
      </c>
      <c r="N128" s="30" t="s">
        <v>821</v>
      </c>
      <c r="O128" s="30" t="s">
        <v>695</v>
      </c>
      <c r="P128" s="30" t="s">
        <v>703</v>
      </c>
      <c r="Q128" s="37" t="s">
        <v>704</v>
      </c>
      <c r="R128" s="32" t="s">
        <v>765</v>
      </c>
      <c r="S128" s="49" t="s">
        <v>832</v>
      </c>
      <c r="T128" s="2" t="e">
        <f>VLOOKUP(S128,[1]Servicios!$B:$C,2,0)</f>
        <v>#N/A</v>
      </c>
      <c r="U128" s="2" t="s">
        <v>979</v>
      </c>
    </row>
    <row r="129" spans="1:21" ht="382.5" hidden="1" x14ac:dyDescent="0.25">
      <c r="A129" s="25" t="s">
        <v>626</v>
      </c>
      <c r="B129" s="26" t="s">
        <v>705</v>
      </c>
      <c r="C129" s="27" t="s">
        <v>631</v>
      </c>
      <c r="D129" s="28" t="s">
        <v>903</v>
      </c>
      <c r="E129" s="29" t="s">
        <v>784</v>
      </c>
      <c r="F129" s="29" t="s">
        <v>787</v>
      </c>
      <c r="G129" s="29" t="s">
        <v>707</v>
      </c>
      <c r="H129" s="29" t="s">
        <v>709</v>
      </c>
      <c r="I129" s="29" t="s">
        <v>708</v>
      </c>
      <c r="J129" s="30" t="s">
        <v>709</v>
      </c>
      <c r="K129" s="32" t="s">
        <v>694</v>
      </c>
      <c r="L129" s="37">
        <v>1</v>
      </c>
      <c r="M129" s="37" t="s">
        <v>633</v>
      </c>
      <c r="N129" s="30" t="s">
        <v>820</v>
      </c>
      <c r="O129" s="30" t="s">
        <v>695</v>
      </c>
      <c r="P129" s="30" t="s">
        <v>710</v>
      </c>
      <c r="Q129" s="37" t="s">
        <v>711</v>
      </c>
      <c r="R129" s="32" t="s">
        <v>765</v>
      </c>
      <c r="S129" s="49" t="s">
        <v>833</v>
      </c>
      <c r="T129" s="2" t="e">
        <f>VLOOKUP(S129,[1]Servicios!$B:$C,2,0)</f>
        <v>#N/A</v>
      </c>
      <c r="U129" s="2" t="s">
        <v>979</v>
      </c>
    </row>
    <row r="130" spans="1:21" ht="51" hidden="1" x14ac:dyDescent="0.25">
      <c r="A130" s="25" t="s">
        <v>66</v>
      </c>
      <c r="B130" s="26" t="s">
        <v>652</v>
      </c>
      <c r="C130" s="27" t="s">
        <v>631</v>
      </c>
      <c r="D130" s="28" t="s">
        <v>904</v>
      </c>
      <c r="E130" s="32" t="s">
        <v>777</v>
      </c>
      <c r="F130" s="29" t="s">
        <v>788</v>
      </c>
      <c r="G130" s="29" t="s">
        <v>716</v>
      </c>
      <c r="H130" s="29" t="s">
        <v>717</v>
      </c>
      <c r="I130" s="29" t="s">
        <v>718</v>
      </c>
      <c r="J130" s="30" t="s">
        <v>717</v>
      </c>
      <c r="K130" s="32" t="s">
        <v>694</v>
      </c>
      <c r="L130" s="37" t="s">
        <v>719</v>
      </c>
      <c r="M130" s="37" t="s">
        <v>633</v>
      </c>
      <c r="N130" s="30" t="s">
        <v>818</v>
      </c>
      <c r="O130" s="30" t="s">
        <v>32</v>
      </c>
      <c r="P130" s="30" t="s">
        <v>720</v>
      </c>
      <c r="Q130" s="37" t="s">
        <v>32</v>
      </c>
      <c r="R130" s="32" t="s">
        <v>765</v>
      </c>
      <c r="S130" s="49" t="s">
        <v>826</v>
      </c>
      <c r="T130" s="2" t="e">
        <f>VLOOKUP(S130,[1]Servicios!$B:$C,2,0)</f>
        <v>#N/A</v>
      </c>
      <c r="U130" s="2" t="s">
        <v>979</v>
      </c>
    </row>
    <row r="131" spans="1:21" ht="216.75" hidden="1" x14ac:dyDescent="0.25">
      <c r="A131" s="40" t="s">
        <v>626</v>
      </c>
      <c r="B131" s="41" t="s">
        <v>728</v>
      </c>
      <c r="C131" s="42" t="s">
        <v>631</v>
      </c>
      <c r="D131" s="43" t="s">
        <v>905</v>
      </c>
      <c r="E131" s="44" t="s">
        <v>777</v>
      </c>
      <c r="F131" s="45" t="s">
        <v>789</v>
      </c>
      <c r="G131" s="45" t="s">
        <v>730</v>
      </c>
      <c r="H131" s="45" t="s">
        <v>731</v>
      </c>
      <c r="I131" s="45" t="s">
        <v>732</v>
      </c>
      <c r="J131" s="46" t="s">
        <v>731</v>
      </c>
      <c r="K131" s="44" t="s">
        <v>722</v>
      </c>
      <c r="L131" s="47">
        <v>1</v>
      </c>
      <c r="M131" s="47" t="s">
        <v>633</v>
      </c>
      <c r="N131" s="48"/>
      <c r="O131" s="46" t="s">
        <v>723</v>
      </c>
      <c r="P131" s="46" t="s">
        <v>733</v>
      </c>
      <c r="Q131" s="47" t="s">
        <v>724</v>
      </c>
      <c r="R131" s="44" t="s">
        <v>765</v>
      </c>
      <c r="S131" s="50" t="s">
        <v>834</v>
      </c>
      <c r="T131" s="2" t="e">
        <f>VLOOKUP(S131,[1]Servicios!$B:$C,2,0)</f>
        <v>#N/A</v>
      </c>
      <c r="U131" s="2" t="s">
        <v>979</v>
      </c>
    </row>
    <row r="132" spans="1:21" ht="216.75" hidden="1" x14ac:dyDescent="0.25">
      <c r="A132" s="25" t="s">
        <v>626</v>
      </c>
      <c r="B132" s="26" t="s">
        <v>734</v>
      </c>
      <c r="C132" s="27" t="s">
        <v>631</v>
      </c>
      <c r="D132" s="28" t="s">
        <v>906</v>
      </c>
      <c r="E132" s="32" t="s">
        <v>777</v>
      </c>
      <c r="F132" s="29" t="s">
        <v>790</v>
      </c>
      <c r="G132" s="29" t="s">
        <v>736</v>
      </c>
      <c r="H132" s="29" t="s">
        <v>737</v>
      </c>
      <c r="I132" s="29" t="s">
        <v>738</v>
      </c>
      <c r="J132" s="30" t="s">
        <v>737</v>
      </c>
      <c r="K132" s="32" t="s">
        <v>722</v>
      </c>
      <c r="L132" s="37">
        <v>1</v>
      </c>
      <c r="M132" s="37" t="s">
        <v>633</v>
      </c>
      <c r="N132" s="30" t="s">
        <v>817</v>
      </c>
      <c r="O132" s="30" t="s">
        <v>723</v>
      </c>
      <c r="P132" s="30" t="s">
        <v>739</v>
      </c>
      <c r="Q132" s="37" t="s">
        <v>724</v>
      </c>
      <c r="R132" s="32" t="s">
        <v>765</v>
      </c>
      <c r="S132" s="49" t="s">
        <v>835</v>
      </c>
      <c r="T132" s="2" t="e">
        <f>VLOOKUP(S132,[1]Servicios!$B:$C,2,0)</f>
        <v>#N/A</v>
      </c>
      <c r="U132" s="2" t="s">
        <v>979</v>
      </c>
    </row>
    <row r="133" spans="1:21" ht="216.75" hidden="1" x14ac:dyDescent="0.25">
      <c r="A133" s="25" t="s">
        <v>644</v>
      </c>
      <c r="B133" s="26" t="s">
        <v>744</v>
      </c>
      <c r="C133" s="27" t="s">
        <v>631</v>
      </c>
      <c r="D133" s="28" t="s">
        <v>907</v>
      </c>
      <c r="E133" s="32" t="s">
        <v>777</v>
      </c>
      <c r="F133" s="29" t="s">
        <v>791</v>
      </c>
      <c r="G133" s="29" t="s">
        <v>741</v>
      </c>
      <c r="H133" s="29" t="s">
        <v>742</v>
      </c>
      <c r="I133" s="29" t="s">
        <v>743</v>
      </c>
      <c r="J133" s="30" t="s">
        <v>742</v>
      </c>
      <c r="K133" s="32" t="s">
        <v>722</v>
      </c>
      <c r="L133" s="37">
        <v>1</v>
      </c>
      <c r="M133" s="37" t="s">
        <v>633</v>
      </c>
      <c r="N133" s="39"/>
      <c r="O133" s="30" t="s">
        <v>723</v>
      </c>
      <c r="P133" s="30" t="s">
        <v>745</v>
      </c>
      <c r="Q133" s="37" t="s">
        <v>724</v>
      </c>
      <c r="R133" s="32" t="s">
        <v>765</v>
      </c>
      <c r="S133" s="49" t="s">
        <v>829</v>
      </c>
      <c r="T133" s="2" t="e">
        <f>VLOOKUP(S133,[1]Servicios!$B:$C,2,0)</f>
        <v>#N/A</v>
      </c>
      <c r="U133" s="2" t="s">
        <v>980</v>
      </c>
    </row>
    <row r="134" spans="1:21" ht="114.75" hidden="1" x14ac:dyDescent="0.25">
      <c r="A134" s="25" t="s">
        <v>66</v>
      </c>
      <c r="B134" s="26" t="s">
        <v>749</v>
      </c>
      <c r="C134" s="27" t="s">
        <v>631</v>
      </c>
      <c r="D134" s="28" t="s">
        <v>908</v>
      </c>
      <c r="E134" s="32" t="s">
        <v>777</v>
      </c>
      <c r="F134" s="29" t="s">
        <v>792</v>
      </c>
      <c r="G134" s="29" t="s">
        <v>751</v>
      </c>
      <c r="H134" s="29" t="s">
        <v>753</v>
      </c>
      <c r="I134" s="29" t="s">
        <v>752</v>
      </c>
      <c r="J134" s="30" t="s">
        <v>753</v>
      </c>
      <c r="K134" s="32" t="s">
        <v>754</v>
      </c>
      <c r="L134" s="32">
        <v>0.5</v>
      </c>
      <c r="M134" s="37" t="s">
        <v>633</v>
      </c>
      <c r="N134" s="30" t="s">
        <v>817</v>
      </c>
      <c r="O134" s="30" t="s">
        <v>748</v>
      </c>
      <c r="P134" s="30" t="s">
        <v>755</v>
      </c>
      <c r="Q134" s="37" t="s">
        <v>756</v>
      </c>
      <c r="R134" s="32" t="s">
        <v>765</v>
      </c>
      <c r="S134" s="49" t="s">
        <v>836</v>
      </c>
      <c r="T134" s="2" t="e">
        <f>VLOOKUP(S134,[1]Servicios!$B:$C,2,0)</f>
        <v>#N/A</v>
      </c>
      <c r="U134" s="2" t="s">
        <v>979</v>
      </c>
    </row>
    <row r="135" spans="1:21" ht="127.5" hidden="1" x14ac:dyDescent="0.25">
      <c r="A135" s="25" t="s">
        <v>66</v>
      </c>
      <c r="B135" s="26" t="s">
        <v>757</v>
      </c>
      <c r="C135" s="27" t="s">
        <v>631</v>
      </c>
      <c r="D135" s="28" t="s">
        <v>909</v>
      </c>
      <c r="E135" s="32" t="s">
        <v>777</v>
      </c>
      <c r="F135" s="29" t="s">
        <v>793</v>
      </c>
      <c r="G135" s="29" t="s">
        <v>759</v>
      </c>
      <c r="H135" s="29" t="s">
        <v>760</v>
      </c>
      <c r="I135" s="29" t="s">
        <v>631</v>
      </c>
      <c r="J135" s="30" t="s">
        <v>631</v>
      </c>
      <c r="K135" s="32" t="s">
        <v>722</v>
      </c>
      <c r="L135" s="37">
        <v>0.95</v>
      </c>
      <c r="M135" s="37" t="s">
        <v>633</v>
      </c>
      <c r="N135" s="30" t="s">
        <v>818</v>
      </c>
      <c r="O135" s="30" t="s">
        <v>761</v>
      </c>
      <c r="P135" s="30" t="s">
        <v>762</v>
      </c>
      <c r="Q135" s="37" t="s">
        <v>756</v>
      </c>
      <c r="R135" s="32" t="s">
        <v>765</v>
      </c>
      <c r="S135" s="49" t="s">
        <v>826</v>
      </c>
      <c r="T135" s="2" t="e">
        <f>VLOOKUP(S135,[1]Servicios!$B:$C,2,0)</f>
        <v>#N/A</v>
      </c>
      <c r="U135" s="2" t="s">
        <v>979</v>
      </c>
    </row>
    <row r="136" spans="1:21" ht="280.5" hidden="1" x14ac:dyDescent="0.25">
      <c r="A136" s="25" t="s">
        <v>794</v>
      </c>
      <c r="B136" s="26" t="s">
        <v>795</v>
      </c>
      <c r="C136" s="27" t="s">
        <v>631</v>
      </c>
      <c r="D136" s="28" t="s">
        <v>910</v>
      </c>
      <c r="E136" s="29" t="s">
        <v>797</v>
      </c>
      <c r="F136" s="29" t="s">
        <v>798</v>
      </c>
      <c r="G136" s="29" t="s">
        <v>799</v>
      </c>
      <c r="H136" s="29" t="s">
        <v>801</v>
      </c>
      <c r="I136" s="29" t="s">
        <v>800</v>
      </c>
      <c r="J136" s="30" t="s">
        <v>801</v>
      </c>
      <c r="K136" s="32" t="s">
        <v>722</v>
      </c>
      <c r="L136" s="37" t="s">
        <v>802</v>
      </c>
      <c r="M136" s="37" t="s">
        <v>633</v>
      </c>
      <c r="N136" s="30" t="s">
        <v>817</v>
      </c>
      <c r="O136" s="30" t="s">
        <v>32</v>
      </c>
      <c r="P136" s="30" t="s">
        <v>803</v>
      </c>
      <c r="Q136" s="37" t="s">
        <v>32</v>
      </c>
      <c r="R136" s="30" t="s">
        <v>804</v>
      </c>
      <c r="S136" s="49" t="s">
        <v>583</v>
      </c>
      <c r="T136" s="2" t="e">
        <f>VLOOKUP(S136,[1]Servicios!$B:$C,2,0)</f>
        <v>#N/A</v>
      </c>
      <c r="U136" s="2" t="s">
        <v>578</v>
      </c>
    </row>
    <row r="137" spans="1:21" ht="229.5" hidden="1" x14ac:dyDescent="0.25">
      <c r="A137" s="25" t="s">
        <v>66</v>
      </c>
      <c r="B137" s="26" t="s">
        <v>805</v>
      </c>
      <c r="C137" s="27" t="s">
        <v>631</v>
      </c>
      <c r="D137" s="28" t="s">
        <v>911</v>
      </c>
      <c r="E137" s="29" t="s">
        <v>807</v>
      </c>
      <c r="F137" s="29" t="s">
        <v>808</v>
      </c>
      <c r="G137" s="29" t="s">
        <v>809</v>
      </c>
      <c r="H137" s="29" t="s">
        <v>811</v>
      </c>
      <c r="I137" s="29" t="s">
        <v>810</v>
      </c>
      <c r="J137" s="30" t="s">
        <v>811</v>
      </c>
      <c r="K137" s="32" t="s">
        <v>722</v>
      </c>
      <c r="L137" s="35">
        <v>0.95</v>
      </c>
      <c r="M137" s="37" t="s">
        <v>633</v>
      </c>
      <c r="N137" s="30" t="s">
        <v>818</v>
      </c>
      <c r="O137" s="30" t="s">
        <v>32</v>
      </c>
      <c r="P137" s="30" t="s">
        <v>812</v>
      </c>
      <c r="Q137" s="37" t="s">
        <v>32</v>
      </c>
      <c r="R137" s="30" t="s">
        <v>813</v>
      </c>
      <c r="S137" s="49" t="s">
        <v>583</v>
      </c>
      <c r="T137" s="2" t="e">
        <f>VLOOKUP(S137,[1]Servicios!$B:$C,2,0)</f>
        <v>#N/A</v>
      </c>
      <c r="U137" s="2" t="s">
        <v>578</v>
      </c>
    </row>
    <row r="138" spans="1:21" s="2" customFormat="1" ht="63.75" hidden="1" x14ac:dyDescent="0.25">
      <c r="A138" s="25" t="s">
        <v>837</v>
      </c>
      <c r="B138" s="26" t="s">
        <v>838</v>
      </c>
      <c r="C138" s="27" t="s">
        <v>631</v>
      </c>
      <c r="D138" s="28" t="s">
        <v>912</v>
      </c>
      <c r="E138" s="29" t="s">
        <v>846</v>
      </c>
      <c r="F138" s="29" t="s">
        <v>839</v>
      </c>
      <c r="G138" s="29" t="s">
        <v>840</v>
      </c>
      <c r="H138" s="29" t="s">
        <v>842</v>
      </c>
      <c r="I138" s="29" t="s">
        <v>841</v>
      </c>
      <c r="J138" s="30" t="s">
        <v>842</v>
      </c>
      <c r="K138" s="32" t="s">
        <v>843</v>
      </c>
      <c r="L138" s="35" t="s">
        <v>844</v>
      </c>
      <c r="M138" s="37" t="s">
        <v>845</v>
      </c>
      <c r="N138" s="30" t="s">
        <v>882</v>
      </c>
      <c r="O138" s="32" t="s">
        <v>32</v>
      </c>
      <c r="P138" s="32" t="s">
        <v>631</v>
      </c>
      <c r="Q138" s="27" t="s">
        <v>32</v>
      </c>
      <c r="R138" s="32" t="s">
        <v>765</v>
      </c>
      <c r="S138" s="49" t="s">
        <v>966</v>
      </c>
      <c r="T138" s="2" t="str">
        <f>VLOOKUP(S138,[1]Servicios!$B:$C,2,0)</f>
        <v>TERAPIAS ALTERNATIVAS Y COMPLEMENTARIAS - TERAPIA  CON FILTROS</v>
      </c>
      <c r="U138" s="2" t="s">
        <v>978</v>
      </c>
    </row>
    <row r="139" spans="1:21" s="2" customFormat="1" ht="63.75" hidden="1" x14ac:dyDescent="0.25">
      <c r="A139" s="25" t="s">
        <v>837</v>
      </c>
      <c r="B139" s="26" t="s">
        <v>838</v>
      </c>
      <c r="C139" s="27" t="s">
        <v>631</v>
      </c>
      <c r="D139" s="28" t="s">
        <v>913</v>
      </c>
      <c r="E139" s="29" t="s">
        <v>846</v>
      </c>
      <c r="F139" s="29" t="s">
        <v>839</v>
      </c>
      <c r="G139" s="29" t="s">
        <v>840</v>
      </c>
      <c r="H139" s="29" t="s">
        <v>842</v>
      </c>
      <c r="I139" s="29" t="s">
        <v>841</v>
      </c>
      <c r="J139" s="30" t="s">
        <v>842</v>
      </c>
      <c r="K139" s="32" t="s">
        <v>843</v>
      </c>
      <c r="L139" s="35" t="s">
        <v>844</v>
      </c>
      <c r="M139" s="37" t="s">
        <v>845</v>
      </c>
      <c r="N139" s="30" t="s">
        <v>882</v>
      </c>
      <c r="O139" s="32" t="s">
        <v>32</v>
      </c>
      <c r="P139" s="32" t="s">
        <v>631</v>
      </c>
      <c r="Q139" s="27" t="s">
        <v>32</v>
      </c>
      <c r="R139" s="32" t="s">
        <v>765</v>
      </c>
      <c r="S139" s="49" t="s">
        <v>961</v>
      </c>
      <c r="T139" s="2" t="str">
        <f>VLOOKUP(S139,[1]Servicios!$B:$C,2,0)</f>
        <v>TERAPIAS ALTERNATIVAS Y COMPLEMENTARIAS - BIOENERGÉTICA</v>
      </c>
      <c r="U139" s="2" t="s">
        <v>978</v>
      </c>
    </row>
    <row r="140" spans="1:21" s="2" customFormat="1" ht="63.75" hidden="1" x14ac:dyDescent="0.25">
      <c r="A140" s="25" t="s">
        <v>837</v>
      </c>
      <c r="B140" s="26" t="s">
        <v>838</v>
      </c>
      <c r="C140" s="27" t="s">
        <v>631</v>
      </c>
      <c r="D140" s="28" t="s">
        <v>914</v>
      </c>
      <c r="E140" s="29" t="s">
        <v>846</v>
      </c>
      <c r="F140" s="29" t="s">
        <v>839</v>
      </c>
      <c r="G140" s="29" t="s">
        <v>840</v>
      </c>
      <c r="H140" s="29" t="s">
        <v>842</v>
      </c>
      <c r="I140" s="29" t="s">
        <v>841</v>
      </c>
      <c r="J140" s="30" t="s">
        <v>842</v>
      </c>
      <c r="K140" s="32" t="s">
        <v>843</v>
      </c>
      <c r="L140" s="35" t="s">
        <v>844</v>
      </c>
      <c r="M140" s="37" t="s">
        <v>845</v>
      </c>
      <c r="N140" s="30" t="s">
        <v>882</v>
      </c>
      <c r="O140" s="32" t="s">
        <v>32</v>
      </c>
      <c r="P140" s="32" t="s">
        <v>631</v>
      </c>
      <c r="Q140" s="27" t="s">
        <v>32</v>
      </c>
      <c r="R140" s="32" t="s">
        <v>765</v>
      </c>
      <c r="S140" s="49" t="s">
        <v>967</v>
      </c>
      <c r="T140" s="2" t="str">
        <f>VLOOKUP(S140,[1]Servicios!$B:$C,2,0)</f>
        <v>TERAPIAS ALTERNATIVAS Y COMPLEMENTARIAS - TERAPIAS  MANUALES</v>
      </c>
      <c r="U140" s="2" t="s">
        <v>978</v>
      </c>
    </row>
    <row r="141" spans="1:21" s="2" customFormat="1" ht="63.75" hidden="1" x14ac:dyDescent="0.25">
      <c r="A141" s="25" t="s">
        <v>837</v>
      </c>
      <c r="B141" s="26" t="s">
        <v>838</v>
      </c>
      <c r="C141" s="27" t="s">
        <v>631</v>
      </c>
      <c r="D141" s="28" t="s">
        <v>915</v>
      </c>
      <c r="E141" s="29" t="s">
        <v>846</v>
      </c>
      <c r="F141" s="29" t="s">
        <v>839</v>
      </c>
      <c r="G141" s="29" t="s">
        <v>840</v>
      </c>
      <c r="H141" s="29" t="s">
        <v>842</v>
      </c>
      <c r="I141" s="29" t="s">
        <v>841</v>
      </c>
      <c r="J141" s="30" t="s">
        <v>842</v>
      </c>
      <c r="K141" s="32" t="s">
        <v>843</v>
      </c>
      <c r="L141" s="35" t="s">
        <v>844</v>
      </c>
      <c r="M141" s="37" t="s">
        <v>845</v>
      </c>
      <c r="N141" s="30" t="s">
        <v>882</v>
      </c>
      <c r="O141" s="32" t="s">
        <v>32</v>
      </c>
      <c r="P141" s="32" t="s">
        <v>631</v>
      </c>
      <c r="Q141" s="27" t="s">
        <v>32</v>
      </c>
      <c r="R141" s="32" t="s">
        <v>765</v>
      </c>
      <c r="S141" s="49" t="s">
        <v>968</v>
      </c>
      <c r="T141" s="2" t="str">
        <f>VLOOKUP(S141,[1]Servicios!$B:$C,2,0)</f>
        <v>TERAPIA OCUPACIONAL</v>
      </c>
      <c r="U141" s="2" t="s">
        <v>978</v>
      </c>
    </row>
    <row r="142" spans="1:21" s="2" customFormat="1" ht="63.75" hidden="1" x14ac:dyDescent="0.25">
      <c r="A142" s="25" t="s">
        <v>837</v>
      </c>
      <c r="B142" s="26" t="s">
        <v>838</v>
      </c>
      <c r="C142" s="27" t="s">
        <v>631</v>
      </c>
      <c r="D142" s="28" t="s">
        <v>916</v>
      </c>
      <c r="E142" s="29" t="s">
        <v>846</v>
      </c>
      <c r="F142" s="29" t="s">
        <v>839</v>
      </c>
      <c r="G142" s="29" t="s">
        <v>840</v>
      </c>
      <c r="H142" s="29" t="s">
        <v>842</v>
      </c>
      <c r="I142" s="29" t="s">
        <v>841</v>
      </c>
      <c r="J142" s="30" t="s">
        <v>842</v>
      </c>
      <c r="K142" s="32" t="s">
        <v>843</v>
      </c>
      <c r="L142" s="35" t="s">
        <v>844</v>
      </c>
      <c r="M142" s="37" t="s">
        <v>845</v>
      </c>
      <c r="N142" s="30" t="s">
        <v>882</v>
      </c>
      <c r="O142" s="32" t="s">
        <v>32</v>
      </c>
      <c r="P142" s="32" t="s">
        <v>631</v>
      </c>
      <c r="Q142" s="27" t="s">
        <v>32</v>
      </c>
      <c r="R142" s="32" t="s">
        <v>765</v>
      </c>
      <c r="S142" s="49" t="s">
        <v>969</v>
      </c>
      <c r="T142" s="2" t="str">
        <f>VLOOKUP(S142,[1]Servicios!$B:$C,2,0)</f>
        <v>TERAPIA RESPIRATORIA</v>
      </c>
      <c r="U142" s="2" t="s">
        <v>978</v>
      </c>
    </row>
    <row r="143" spans="1:21" s="2" customFormat="1" ht="63.75" hidden="1" x14ac:dyDescent="0.25">
      <c r="A143" s="25" t="s">
        <v>837</v>
      </c>
      <c r="B143" s="26" t="s">
        <v>847</v>
      </c>
      <c r="C143" s="27" t="s">
        <v>631</v>
      </c>
      <c r="D143" s="28" t="s">
        <v>917</v>
      </c>
      <c r="E143" s="29" t="s">
        <v>846</v>
      </c>
      <c r="F143" s="29" t="s">
        <v>848</v>
      </c>
      <c r="G143" s="29" t="s">
        <v>849</v>
      </c>
      <c r="H143" s="29" t="s">
        <v>851</v>
      </c>
      <c r="I143" s="29" t="s">
        <v>850</v>
      </c>
      <c r="J143" s="30" t="s">
        <v>851</v>
      </c>
      <c r="K143" s="32" t="s">
        <v>722</v>
      </c>
      <c r="L143" s="35">
        <v>1</v>
      </c>
      <c r="M143" s="37" t="s">
        <v>845</v>
      </c>
      <c r="N143" s="30" t="s">
        <v>882</v>
      </c>
      <c r="O143" s="32" t="s">
        <v>32</v>
      </c>
      <c r="P143" s="32" t="s">
        <v>631</v>
      </c>
      <c r="Q143" s="27" t="s">
        <v>32</v>
      </c>
      <c r="R143" s="32" t="s">
        <v>765</v>
      </c>
      <c r="S143" s="49" t="s">
        <v>966</v>
      </c>
      <c r="T143" s="2" t="str">
        <f>VLOOKUP(S143,[1]Servicios!$B:$C,2,0)</f>
        <v>TERAPIAS ALTERNATIVAS Y COMPLEMENTARIAS - TERAPIA  CON FILTROS</v>
      </c>
      <c r="U143" s="2" t="s">
        <v>978</v>
      </c>
    </row>
    <row r="144" spans="1:21" s="2" customFormat="1" ht="63.75" hidden="1" x14ac:dyDescent="0.25">
      <c r="A144" s="25" t="s">
        <v>837</v>
      </c>
      <c r="B144" s="26" t="s">
        <v>847</v>
      </c>
      <c r="C144" s="27" t="s">
        <v>631</v>
      </c>
      <c r="D144" s="28" t="s">
        <v>918</v>
      </c>
      <c r="E144" s="29" t="s">
        <v>846</v>
      </c>
      <c r="F144" s="29" t="s">
        <v>848</v>
      </c>
      <c r="G144" s="29" t="s">
        <v>849</v>
      </c>
      <c r="H144" s="29" t="s">
        <v>851</v>
      </c>
      <c r="I144" s="29" t="s">
        <v>850</v>
      </c>
      <c r="J144" s="30" t="s">
        <v>851</v>
      </c>
      <c r="K144" s="32" t="s">
        <v>722</v>
      </c>
      <c r="L144" s="35">
        <v>1</v>
      </c>
      <c r="M144" s="37" t="s">
        <v>845</v>
      </c>
      <c r="N144" s="30" t="s">
        <v>882</v>
      </c>
      <c r="O144" s="32" t="s">
        <v>32</v>
      </c>
      <c r="P144" s="32" t="s">
        <v>631</v>
      </c>
      <c r="Q144" s="27" t="s">
        <v>32</v>
      </c>
      <c r="R144" s="32" t="s">
        <v>765</v>
      </c>
      <c r="S144" s="49" t="s">
        <v>961</v>
      </c>
      <c r="T144" s="2" t="str">
        <f>VLOOKUP(S144,[1]Servicios!$B:$C,2,0)</f>
        <v>TERAPIAS ALTERNATIVAS Y COMPLEMENTARIAS - BIOENERGÉTICA</v>
      </c>
      <c r="U144" s="2" t="s">
        <v>978</v>
      </c>
    </row>
    <row r="145" spans="1:21" s="2" customFormat="1" ht="63.75" hidden="1" x14ac:dyDescent="0.25">
      <c r="A145" s="25" t="s">
        <v>837</v>
      </c>
      <c r="B145" s="26" t="s">
        <v>847</v>
      </c>
      <c r="C145" s="27" t="s">
        <v>631</v>
      </c>
      <c r="D145" s="28" t="s">
        <v>919</v>
      </c>
      <c r="E145" s="29" t="s">
        <v>846</v>
      </c>
      <c r="F145" s="29" t="s">
        <v>848</v>
      </c>
      <c r="G145" s="29" t="s">
        <v>849</v>
      </c>
      <c r="H145" s="29" t="s">
        <v>851</v>
      </c>
      <c r="I145" s="29" t="s">
        <v>850</v>
      </c>
      <c r="J145" s="30" t="s">
        <v>851</v>
      </c>
      <c r="K145" s="32" t="s">
        <v>722</v>
      </c>
      <c r="L145" s="35">
        <v>1</v>
      </c>
      <c r="M145" s="37" t="s">
        <v>845</v>
      </c>
      <c r="N145" s="30" t="s">
        <v>882</v>
      </c>
      <c r="O145" s="32" t="s">
        <v>32</v>
      </c>
      <c r="P145" s="32" t="s">
        <v>631</v>
      </c>
      <c r="Q145" s="27" t="s">
        <v>32</v>
      </c>
      <c r="R145" s="32" t="s">
        <v>765</v>
      </c>
      <c r="S145" s="49" t="s">
        <v>967</v>
      </c>
      <c r="T145" s="2" t="str">
        <f>VLOOKUP(S145,[1]Servicios!$B:$C,2,0)</f>
        <v>TERAPIAS ALTERNATIVAS Y COMPLEMENTARIAS - TERAPIAS  MANUALES</v>
      </c>
      <c r="U145" s="2" t="s">
        <v>978</v>
      </c>
    </row>
    <row r="146" spans="1:21" s="2" customFormat="1" ht="63.75" hidden="1" x14ac:dyDescent="0.25">
      <c r="A146" s="25" t="s">
        <v>837</v>
      </c>
      <c r="B146" s="26" t="s">
        <v>847</v>
      </c>
      <c r="C146" s="27" t="s">
        <v>631</v>
      </c>
      <c r="D146" s="28" t="s">
        <v>920</v>
      </c>
      <c r="E146" s="29" t="s">
        <v>846</v>
      </c>
      <c r="F146" s="29" t="s">
        <v>848</v>
      </c>
      <c r="G146" s="29" t="s">
        <v>849</v>
      </c>
      <c r="H146" s="29" t="s">
        <v>851</v>
      </c>
      <c r="I146" s="29" t="s">
        <v>850</v>
      </c>
      <c r="J146" s="30" t="s">
        <v>851</v>
      </c>
      <c r="K146" s="32" t="s">
        <v>722</v>
      </c>
      <c r="L146" s="35">
        <v>1</v>
      </c>
      <c r="M146" s="37" t="s">
        <v>845</v>
      </c>
      <c r="N146" s="30" t="s">
        <v>882</v>
      </c>
      <c r="O146" s="32" t="s">
        <v>32</v>
      </c>
      <c r="P146" s="32" t="s">
        <v>631</v>
      </c>
      <c r="Q146" s="27" t="s">
        <v>32</v>
      </c>
      <c r="R146" s="32" t="s">
        <v>765</v>
      </c>
      <c r="S146" s="49" t="s">
        <v>968</v>
      </c>
      <c r="T146" s="2" t="str">
        <f>VLOOKUP(S146,[1]Servicios!$B:$C,2,0)</f>
        <v>TERAPIA OCUPACIONAL</v>
      </c>
      <c r="U146" s="2" t="s">
        <v>978</v>
      </c>
    </row>
    <row r="147" spans="1:21" s="2" customFormat="1" ht="63.75" hidden="1" x14ac:dyDescent="0.25">
      <c r="A147" s="25" t="s">
        <v>837</v>
      </c>
      <c r="B147" s="26" t="s">
        <v>847</v>
      </c>
      <c r="C147" s="27" t="s">
        <v>631</v>
      </c>
      <c r="D147" s="28" t="s">
        <v>921</v>
      </c>
      <c r="E147" s="29" t="s">
        <v>846</v>
      </c>
      <c r="F147" s="29" t="s">
        <v>848</v>
      </c>
      <c r="G147" s="29" t="s">
        <v>849</v>
      </c>
      <c r="H147" s="29" t="s">
        <v>851</v>
      </c>
      <c r="I147" s="29" t="s">
        <v>850</v>
      </c>
      <c r="J147" s="30" t="s">
        <v>851</v>
      </c>
      <c r="K147" s="32" t="s">
        <v>722</v>
      </c>
      <c r="L147" s="35">
        <v>1</v>
      </c>
      <c r="M147" s="37" t="s">
        <v>845</v>
      </c>
      <c r="N147" s="30" t="s">
        <v>882</v>
      </c>
      <c r="O147" s="32" t="s">
        <v>32</v>
      </c>
      <c r="P147" s="32" t="s">
        <v>631</v>
      </c>
      <c r="Q147" s="27" t="s">
        <v>32</v>
      </c>
      <c r="R147" s="32" t="s">
        <v>765</v>
      </c>
      <c r="S147" s="49" t="s">
        <v>969</v>
      </c>
      <c r="T147" s="2" t="str">
        <f>VLOOKUP(S147,[1]Servicios!$B:$C,2,0)</f>
        <v>TERAPIA RESPIRATORIA</v>
      </c>
      <c r="U147" s="2" t="s">
        <v>978</v>
      </c>
    </row>
    <row r="148" spans="1:21" s="2" customFormat="1" ht="63.75" hidden="1" x14ac:dyDescent="0.25">
      <c r="A148" s="25" t="s">
        <v>837</v>
      </c>
      <c r="B148" s="26" t="s">
        <v>852</v>
      </c>
      <c r="C148" s="27" t="s">
        <v>631</v>
      </c>
      <c r="D148" s="28" t="s">
        <v>922</v>
      </c>
      <c r="E148" s="29" t="s">
        <v>846</v>
      </c>
      <c r="F148" s="29" t="s">
        <v>853</v>
      </c>
      <c r="G148" s="29" t="s">
        <v>854</v>
      </c>
      <c r="H148" s="29" t="s">
        <v>856</v>
      </c>
      <c r="I148" s="29" t="s">
        <v>855</v>
      </c>
      <c r="J148" s="30" t="s">
        <v>856</v>
      </c>
      <c r="K148" s="32" t="s">
        <v>843</v>
      </c>
      <c r="L148" s="35" t="s">
        <v>857</v>
      </c>
      <c r="M148" s="37" t="s">
        <v>845</v>
      </c>
      <c r="N148" s="30" t="s">
        <v>882</v>
      </c>
      <c r="O148" s="32" t="s">
        <v>32</v>
      </c>
      <c r="P148" s="32" t="s">
        <v>631</v>
      </c>
      <c r="Q148" s="27" t="s">
        <v>32</v>
      </c>
      <c r="R148" s="32" t="s">
        <v>765</v>
      </c>
      <c r="S148" s="49" t="s">
        <v>881</v>
      </c>
      <c r="T148" s="2" t="e">
        <f>VLOOKUP(S148,[1]Servicios!$B:$C,2,0)</f>
        <v>#N/A</v>
      </c>
      <c r="U148" s="2" t="s">
        <v>978</v>
      </c>
    </row>
    <row r="149" spans="1:21" s="2" customFormat="1" ht="38.25" hidden="1" x14ac:dyDescent="0.25">
      <c r="A149" s="25" t="s">
        <v>652</v>
      </c>
      <c r="B149" s="26" t="s">
        <v>858</v>
      </c>
      <c r="C149" s="27" t="s">
        <v>631</v>
      </c>
      <c r="D149" s="28" t="s">
        <v>923</v>
      </c>
      <c r="E149" s="29" t="s">
        <v>846</v>
      </c>
      <c r="F149" s="29" t="s">
        <v>859</v>
      </c>
      <c r="G149" s="29" t="s">
        <v>860</v>
      </c>
      <c r="H149" s="29" t="s">
        <v>862</v>
      </c>
      <c r="I149" s="29" t="s">
        <v>861</v>
      </c>
      <c r="J149" s="30" t="s">
        <v>862</v>
      </c>
      <c r="K149" s="32" t="s">
        <v>722</v>
      </c>
      <c r="L149" s="35">
        <v>0.95</v>
      </c>
      <c r="M149" s="37" t="s">
        <v>863</v>
      </c>
      <c r="N149" s="30" t="s">
        <v>818</v>
      </c>
      <c r="O149" s="32" t="s">
        <v>32</v>
      </c>
      <c r="P149" s="32" t="s">
        <v>631</v>
      </c>
      <c r="Q149" s="27" t="s">
        <v>32</v>
      </c>
      <c r="R149" s="32" t="s">
        <v>765</v>
      </c>
      <c r="S149" s="49" t="s">
        <v>583</v>
      </c>
      <c r="T149" s="2" t="e">
        <f>VLOOKUP(S149,[1]Servicios!$B:$C,2,0)</f>
        <v>#N/A</v>
      </c>
      <c r="U149" s="2" t="s">
        <v>578</v>
      </c>
    </row>
    <row r="150" spans="1:21" ht="78.95" hidden="1" customHeight="1" x14ac:dyDescent="0.25">
      <c r="A150" s="25" t="s">
        <v>864</v>
      </c>
      <c r="B150" s="26" t="s">
        <v>865</v>
      </c>
      <c r="C150" s="27" t="s">
        <v>631</v>
      </c>
      <c r="D150" s="28" t="s">
        <v>924</v>
      </c>
      <c r="E150" s="29" t="s">
        <v>866</v>
      </c>
      <c r="F150" s="29" t="s">
        <v>867</v>
      </c>
      <c r="G150" s="29" t="s">
        <v>868</v>
      </c>
      <c r="H150" s="29" t="s">
        <v>870</v>
      </c>
      <c r="I150" s="29" t="s">
        <v>869</v>
      </c>
      <c r="J150" s="30" t="s">
        <v>870</v>
      </c>
      <c r="K150" s="37">
        <v>1</v>
      </c>
      <c r="L150" s="35">
        <v>1</v>
      </c>
      <c r="M150" s="37" t="s">
        <v>845</v>
      </c>
      <c r="N150" s="30" t="s">
        <v>883</v>
      </c>
      <c r="O150" s="32" t="s">
        <v>32</v>
      </c>
      <c r="P150" s="32" t="s">
        <v>631</v>
      </c>
      <c r="Q150" s="27" t="s">
        <v>32</v>
      </c>
      <c r="R150" s="32" t="s">
        <v>765</v>
      </c>
      <c r="S150" s="49" t="s">
        <v>966</v>
      </c>
      <c r="T150" s="2" t="str">
        <f>VLOOKUP(S150,[1]Servicios!$B:$C,2,0)</f>
        <v>TERAPIAS ALTERNATIVAS Y COMPLEMENTARIAS - TERAPIA  CON FILTROS</v>
      </c>
      <c r="U150" s="2" t="s">
        <v>978</v>
      </c>
    </row>
    <row r="151" spans="1:21" ht="78.95" hidden="1" customHeight="1" x14ac:dyDescent="0.25">
      <c r="A151" s="25" t="s">
        <v>864</v>
      </c>
      <c r="B151" s="26" t="s">
        <v>865</v>
      </c>
      <c r="C151" s="27" t="s">
        <v>631</v>
      </c>
      <c r="D151" s="28" t="s">
        <v>925</v>
      </c>
      <c r="E151" s="29" t="s">
        <v>866</v>
      </c>
      <c r="F151" s="29" t="s">
        <v>867</v>
      </c>
      <c r="G151" s="29" t="s">
        <v>868</v>
      </c>
      <c r="H151" s="29" t="s">
        <v>870</v>
      </c>
      <c r="I151" s="29" t="s">
        <v>869</v>
      </c>
      <c r="J151" s="30" t="s">
        <v>870</v>
      </c>
      <c r="K151" s="37">
        <v>1</v>
      </c>
      <c r="L151" s="35">
        <v>1</v>
      </c>
      <c r="M151" s="37" t="s">
        <v>845</v>
      </c>
      <c r="N151" s="30" t="s">
        <v>883</v>
      </c>
      <c r="O151" s="32" t="s">
        <v>32</v>
      </c>
      <c r="P151" s="32" t="s">
        <v>631</v>
      </c>
      <c r="Q151" s="27" t="s">
        <v>32</v>
      </c>
      <c r="R151" s="32" t="s">
        <v>765</v>
      </c>
      <c r="S151" s="49" t="s">
        <v>961</v>
      </c>
      <c r="T151" s="2" t="str">
        <f>VLOOKUP(S151,[1]Servicios!$B:$C,2,0)</f>
        <v>TERAPIAS ALTERNATIVAS Y COMPLEMENTARIAS - BIOENERGÉTICA</v>
      </c>
      <c r="U151" s="2" t="s">
        <v>978</v>
      </c>
    </row>
    <row r="152" spans="1:21" ht="78.95" hidden="1" customHeight="1" x14ac:dyDescent="0.25">
      <c r="A152" s="25" t="s">
        <v>864</v>
      </c>
      <c r="B152" s="26" t="s">
        <v>865</v>
      </c>
      <c r="C152" s="27" t="s">
        <v>631</v>
      </c>
      <c r="D152" s="28" t="s">
        <v>926</v>
      </c>
      <c r="E152" s="29" t="s">
        <v>866</v>
      </c>
      <c r="F152" s="29" t="s">
        <v>867</v>
      </c>
      <c r="G152" s="29" t="s">
        <v>868</v>
      </c>
      <c r="H152" s="29" t="s">
        <v>870</v>
      </c>
      <c r="I152" s="29" t="s">
        <v>869</v>
      </c>
      <c r="J152" s="30" t="s">
        <v>870</v>
      </c>
      <c r="K152" s="37">
        <v>1</v>
      </c>
      <c r="L152" s="35">
        <v>1</v>
      </c>
      <c r="M152" s="37" t="s">
        <v>845</v>
      </c>
      <c r="N152" s="30" t="s">
        <v>883</v>
      </c>
      <c r="O152" s="32" t="s">
        <v>32</v>
      </c>
      <c r="P152" s="32" t="s">
        <v>631</v>
      </c>
      <c r="Q152" s="27" t="s">
        <v>32</v>
      </c>
      <c r="R152" s="32" t="s">
        <v>765</v>
      </c>
      <c r="S152" s="49" t="s">
        <v>967</v>
      </c>
      <c r="T152" s="2" t="str">
        <f>VLOOKUP(S152,[1]Servicios!$B:$C,2,0)</f>
        <v>TERAPIAS ALTERNATIVAS Y COMPLEMENTARIAS - TERAPIAS  MANUALES</v>
      </c>
      <c r="U152" s="2" t="s">
        <v>978</v>
      </c>
    </row>
    <row r="153" spans="1:21" ht="78.95" hidden="1" customHeight="1" x14ac:dyDescent="0.25">
      <c r="A153" s="25" t="s">
        <v>864</v>
      </c>
      <c r="B153" s="26" t="s">
        <v>865</v>
      </c>
      <c r="C153" s="27" t="s">
        <v>631</v>
      </c>
      <c r="D153" s="28" t="s">
        <v>927</v>
      </c>
      <c r="E153" s="29" t="s">
        <v>866</v>
      </c>
      <c r="F153" s="29" t="s">
        <v>867</v>
      </c>
      <c r="G153" s="29" t="s">
        <v>868</v>
      </c>
      <c r="H153" s="29" t="s">
        <v>870</v>
      </c>
      <c r="I153" s="29" t="s">
        <v>869</v>
      </c>
      <c r="J153" s="30" t="s">
        <v>870</v>
      </c>
      <c r="K153" s="37">
        <v>1</v>
      </c>
      <c r="L153" s="35">
        <v>1</v>
      </c>
      <c r="M153" s="37" t="s">
        <v>845</v>
      </c>
      <c r="N153" s="30" t="s">
        <v>883</v>
      </c>
      <c r="O153" s="32" t="s">
        <v>32</v>
      </c>
      <c r="P153" s="32" t="s">
        <v>631</v>
      </c>
      <c r="Q153" s="27" t="s">
        <v>32</v>
      </c>
      <c r="R153" s="32" t="s">
        <v>765</v>
      </c>
      <c r="S153" s="49" t="s">
        <v>968</v>
      </c>
      <c r="T153" s="2" t="str">
        <f>VLOOKUP(S153,[1]Servicios!$B:$C,2,0)</f>
        <v>TERAPIA OCUPACIONAL</v>
      </c>
      <c r="U153" s="2" t="s">
        <v>978</v>
      </c>
    </row>
    <row r="154" spans="1:21" ht="78.95" hidden="1" customHeight="1" x14ac:dyDescent="0.25">
      <c r="A154" s="25" t="s">
        <v>864</v>
      </c>
      <c r="B154" s="26" t="s">
        <v>865</v>
      </c>
      <c r="C154" s="27" t="s">
        <v>631</v>
      </c>
      <c r="D154" s="28" t="s">
        <v>928</v>
      </c>
      <c r="E154" s="29" t="s">
        <v>866</v>
      </c>
      <c r="F154" s="29" t="s">
        <v>867</v>
      </c>
      <c r="G154" s="29" t="s">
        <v>868</v>
      </c>
      <c r="H154" s="29" t="s">
        <v>870</v>
      </c>
      <c r="I154" s="29" t="s">
        <v>869</v>
      </c>
      <c r="J154" s="30" t="s">
        <v>870</v>
      </c>
      <c r="K154" s="37">
        <v>1</v>
      </c>
      <c r="L154" s="35">
        <v>1</v>
      </c>
      <c r="M154" s="37" t="s">
        <v>845</v>
      </c>
      <c r="N154" s="30" t="s">
        <v>883</v>
      </c>
      <c r="O154" s="32" t="s">
        <v>32</v>
      </c>
      <c r="P154" s="32" t="s">
        <v>631</v>
      </c>
      <c r="Q154" s="27" t="s">
        <v>32</v>
      </c>
      <c r="R154" s="32" t="s">
        <v>765</v>
      </c>
      <c r="S154" s="49" t="s">
        <v>969</v>
      </c>
      <c r="T154" s="2" t="str">
        <f>VLOOKUP(S154,[1]Servicios!$B:$C,2,0)</f>
        <v>TERAPIA RESPIRATORIA</v>
      </c>
      <c r="U154" s="2" t="s">
        <v>978</v>
      </c>
    </row>
    <row r="155" spans="1:21" ht="63.75" hidden="1" x14ac:dyDescent="0.25">
      <c r="A155" s="25" t="s">
        <v>864</v>
      </c>
      <c r="B155" s="26" t="s">
        <v>871</v>
      </c>
      <c r="C155" s="27" t="s">
        <v>631</v>
      </c>
      <c r="D155" s="28" t="s">
        <v>929</v>
      </c>
      <c r="E155" s="29" t="s">
        <v>866</v>
      </c>
      <c r="F155" s="29" t="s">
        <v>872</v>
      </c>
      <c r="G155" s="29" t="s">
        <v>873</v>
      </c>
      <c r="H155" s="29" t="s">
        <v>874</v>
      </c>
      <c r="I155" s="29" t="s">
        <v>869</v>
      </c>
      <c r="J155" s="30" t="s">
        <v>874</v>
      </c>
      <c r="K155" s="37">
        <v>1</v>
      </c>
      <c r="L155" s="35">
        <v>1</v>
      </c>
      <c r="M155" s="37" t="s">
        <v>845</v>
      </c>
      <c r="N155" s="30" t="s">
        <v>883</v>
      </c>
      <c r="O155" s="32" t="s">
        <v>32</v>
      </c>
      <c r="P155" s="32" t="s">
        <v>631</v>
      </c>
      <c r="Q155" s="27" t="s">
        <v>32</v>
      </c>
      <c r="R155" s="32" t="s">
        <v>765</v>
      </c>
      <c r="S155" s="49" t="s">
        <v>583</v>
      </c>
      <c r="T155" s="2" t="e">
        <f>VLOOKUP(S155,[1]Servicios!$B:$C,2,0)</f>
        <v>#N/A</v>
      </c>
      <c r="U155" s="2" t="s">
        <v>578</v>
      </c>
    </row>
  </sheetData>
  <autoFilter ref="A3:S155" xr:uid="{F7104F7A-670D-4134-831B-DFF6A08FA721}">
    <filterColumn colId="1">
      <filters>
        <filter val="Entrega de  medicamentos a _x000a_domicilio"/>
        <filter val="Entrega de medicamentos  pendientes desde el punto de dispensación"/>
      </filters>
    </filterColumn>
  </autoFilter>
  <mergeCells count="3">
    <mergeCell ref="N2:O2"/>
    <mergeCell ref="G2:M2"/>
    <mergeCell ref="A1:S1"/>
  </mergeCells>
  <phoneticPr fontId="14" type="noConversion"/>
  <conditionalFormatting sqref="D1:D1048576">
    <cfRule type="duplicateValues" dxfId="0" priority="1"/>
  </conditionalFormatting>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B443-C7E2-4877-862E-BEF6BEEB5D1C}">
  <dimension ref="A1:B50"/>
  <sheetViews>
    <sheetView workbookViewId="0">
      <selection activeCell="B1" sqref="B1"/>
    </sheetView>
  </sheetViews>
  <sheetFormatPr baseColWidth="10" defaultRowHeight="15" x14ac:dyDescent="0.25"/>
  <cols>
    <col min="1" max="1" width="32.7109375" customWidth="1"/>
    <col min="2" max="2" width="71" customWidth="1"/>
  </cols>
  <sheetData>
    <row r="1" spans="1:2" x14ac:dyDescent="0.25">
      <c r="A1" s="4" t="s">
        <v>117</v>
      </c>
      <c r="B1" s="4" t="s">
        <v>67</v>
      </c>
    </row>
    <row r="2" spans="1:2" ht="16.5" x14ac:dyDescent="0.3">
      <c r="A2" s="5" t="s">
        <v>118</v>
      </c>
      <c r="B2" s="11" t="s">
        <v>68</v>
      </c>
    </row>
    <row r="3" spans="1:2" ht="16.5" x14ac:dyDescent="0.3">
      <c r="A3" s="5" t="s">
        <v>118</v>
      </c>
      <c r="B3" s="11" t="s">
        <v>69</v>
      </c>
    </row>
    <row r="4" spans="1:2" ht="16.5" x14ac:dyDescent="0.3">
      <c r="A4" s="5" t="s">
        <v>118</v>
      </c>
      <c r="B4" s="11" t="s">
        <v>70</v>
      </c>
    </row>
    <row r="5" spans="1:2" ht="16.5" x14ac:dyDescent="0.3">
      <c r="A5" s="5" t="s">
        <v>118</v>
      </c>
      <c r="B5" s="11" t="s">
        <v>71</v>
      </c>
    </row>
    <row r="6" spans="1:2" ht="16.5" x14ac:dyDescent="0.3">
      <c r="A6" s="5" t="s">
        <v>118</v>
      </c>
      <c r="B6" s="11" t="s">
        <v>72</v>
      </c>
    </row>
    <row r="7" spans="1:2" ht="16.5" x14ac:dyDescent="0.3">
      <c r="A7" s="5" t="s">
        <v>118</v>
      </c>
      <c r="B7" s="11" t="s">
        <v>73</v>
      </c>
    </row>
    <row r="8" spans="1:2" ht="16.5" x14ac:dyDescent="0.3">
      <c r="A8" s="5" t="s">
        <v>118</v>
      </c>
      <c r="B8" s="11" t="s">
        <v>74</v>
      </c>
    </row>
    <row r="9" spans="1:2" ht="16.5" x14ac:dyDescent="0.3">
      <c r="A9" s="5" t="s">
        <v>118</v>
      </c>
      <c r="B9" s="11" t="s">
        <v>75</v>
      </c>
    </row>
    <row r="10" spans="1:2" ht="16.5" x14ac:dyDescent="0.3">
      <c r="A10" s="5" t="s">
        <v>118</v>
      </c>
      <c r="B10" s="11" t="s">
        <v>76</v>
      </c>
    </row>
    <row r="11" spans="1:2" ht="16.5" x14ac:dyDescent="0.3">
      <c r="A11" s="5" t="s">
        <v>118</v>
      </c>
      <c r="B11" s="11" t="s">
        <v>77</v>
      </c>
    </row>
    <row r="12" spans="1:2" ht="16.5" x14ac:dyDescent="0.3">
      <c r="A12" s="5" t="s">
        <v>118</v>
      </c>
      <c r="B12" s="11" t="s">
        <v>78</v>
      </c>
    </row>
    <row r="13" spans="1:2" ht="16.5" x14ac:dyDescent="0.3">
      <c r="A13" s="6" t="s">
        <v>118</v>
      </c>
      <c r="B13" s="11" t="s">
        <v>79</v>
      </c>
    </row>
    <row r="14" spans="1:2" ht="16.5" x14ac:dyDescent="0.3">
      <c r="A14" s="5" t="s">
        <v>118</v>
      </c>
      <c r="B14" s="11" t="s">
        <v>80</v>
      </c>
    </row>
    <row r="15" spans="1:2" ht="16.5" x14ac:dyDescent="0.3">
      <c r="A15" s="5" t="s">
        <v>118</v>
      </c>
      <c r="B15" s="11" t="s">
        <v>81</v>
      </c>
    </row>
    <row r="16" spans="1:2" ht="16.5" x14ac:dyDescent="0.3">
      <c r="A16" s="5" t="s">
        <v>118</v>
      </c>
      <c r="B16" s="11" t="s">
        <v>82</v>
      </c>
    </row>
    <row r="17" spans="1:2" ht="16.5" x14ac:dyDescent="0.3">
      <c r="A17" s="5" t="s">
        <v>118</v>
      </c>
      <c r="B17" s="11" t="s">
        <v>83</v>
      </c>
    </row>
    <row r="18" spans="1:2" ht="16.5" x14ac:dyDescent="0.3">
      <c r="A18" s="5" t="s">
        <v>118</v>
      </c>
      <c r="B18" s="11" t="s">
        <v>84</v>
      </c>
    </row>
    <row r="19" spans="1:2" ht="16.5" x14ac:dyDescent="0.3">
      <c r="A19" s="5" t="s">
        <v>118</v>
      </c>
      <c r="B19" s="11" t="s">
        <v>85</v>
      </c>
    </row>
    <row r="20" spans="1:2" ht="16.5" x14ac:dyDescent="0.3">
      <c r="A20" s="5" t="s">
        <v>118</v>
      </c>
      <c r="B20" s="11" t="s">
        <v>86</v>
      </c>
    </row>
    <row r="21" spans="1:2" ht="16.5" x14ac:dyDescent="0.3">
      <c r="A21" s="5" t="s">
        <v>118</v>
      </c>
      <c r="B21" s="11" t="s">
        <v>87</v>
      </c>
    </row>
    <row r="22" spans="1:2" ht="16.5" x14ac:dyDescent="0.3">
      <c r="A22" s="5" t="s">
        <v>118</v>
      </c>
      <c r="B22" s="11" t="s">
        <v>88</v>
      </c>
    </row>
    <row r="23" spans="1:2" ht="16.5" x14ac:dyDescent="0.3">
      <c r="A23" s="5" t="s">
        <v>118</v>
      </c>
      <c r="B23" s="11" t="s">
        <v>89</v>
      </c>
    </row>
    <row r="24" spans="1:2" ht="16.5" x14ac:dyDescent="0.3">
      <c r="A24" s="7" t="s">
        <v>118</v>
      </c>
      <c r="B24" s="13" t="s">
        <v>90</v>
      </c>
    </row>
    <row r="25" spans="1:2" ht="16.5" x14ac:dyDescent="0.3">
      <c r="A25" s="7" t="s">
        <v>118</v>
      </c>
      <c r="B25" s="13" t="s">
        <v>91</v>
      </c>
    </row>
    <row r="26" spans="1:2" ht="16.5" x14ac:dyDescent="0.3">
      <c r="A26" s="5" t="s">
        <v>118</v>
      </c>
      <c r="B26" s="11" t="s">
        <v>92</v>
      </c>
    </row>
    <row r="27" spans="1:2" ht="16.5" x14ac:dyDescent="0.3">
      <c r="A27" s="5" t="s">
        <v>118</v>
      </c>
      <c r="B27" s="11" t="s">
        <v>93</v>
      </c>
    </row>
    <row r="28" spans="1:2" ht="16.5" x14ac:dyDescent="0.3">
      <c r="A28" s="5" t="s">
        <v>118</v>
      </c>
      <c r="B28" s="11" t="s">
        <v>94</v>
      </c>
    </row>
    <row r="29" spans="1:2" ht="16.5" x14ac:dyDescent="0.3">
      <c r="A29" s="5" t="s">
        <v>118</v>
      </c>
      <c r="B29" s="11" t="s">
        <v>95</v>
      </c>
    </row>
    <row r="30" spans="1:2" ht="16.5" x14ac:dyDescent="0.3">
      <c r="A30" s="5" t="s">
        <v>118</v>
      </c>
      <c r="B30" s="11" t="s">
        <v>96</v>
      </c>
    </row>
    <row r="31" spans="1:2" ht="16.5" x14ac:dyDescent="0.3">
      <c r="A31" s="5" t="s">
        <v>118</v>
      </c>
      <c r="B31" s="11" t="s">
        <v>97</v>
      </c>
    </row>
    <row r="32" spans="1:2" ht="16.5" x14ac:dyDescent="0.3">
      <c r="A32" s="7" t="s">
        <v>118</v>
      </c>
      <c r="B32" s="13" t="s">
        <v>98</v>
      </c>
    </row>
    <row r="33" spans="1:2" ht="16.5" x14ac:dyDescent="0.25">
      <c r="A33" s="6" t="s">
        <v>118</v>
      </c>
      <c r="B33" s="14" t="s">
        <v>99</v>
      </c>
    </row>
    <row r="34" spans="1:2" ht="16.5" x14ac:dyDescent="0.25">
      <c r="A34" s="6" t="s">
        <v>118</v>
      </c>
      <c r="B34" s="14" t="s">
        <v>100</v>
      </c>
    </row>
    <row r="35" spans="1:2" ht="16.5" x14ac:dyDescent="0.25">
      <c r="A35" s="6" t="s">
        <v>118</v>
      </c>
      <c r="B35" s="14" t="s">
        <v>101</v>
      </c>
    </row>
    <row r="36" spans="1:2" ht="16.5" x14ac:dyDescent="0.25">
      <c r="A36" s="6" t="s">
        <v>118</v>
      </c>
      <c r="B36" s="14" t="s">
        <v>102</v>
      </c>
    </row>
    <row r="37" spans="1:2" ht="16.5" x14ac:dyDescent="0.3">
      <c r="A37" s="5" t="s">
        <v>118</v>
      </c>
      <c r="B37" s="11" t="s">
        <v>103</v>
      </c>
    </row>
    <row r="38" spans="1:2" ht="16.5" x14ac:dyDescent="0.3">
      <c r="A38" s="7" t="s">
        <v>118</v>
      </c>
      <c r="B38" s="13" t="s">
        <v>104</v>
      </c>
    </row>
    <row r="39" spans="1:2" ht="16.5" x14ac:dyDescent="0.3">
      <c r="A39" s="5" t="s">
        <v>118</v>
      </c>
      <c r="B39" s="11" t="s">
        <v>105</v>
      </c>
    </row>
    <row r="40" spans="1:2" ht="16.5" x14ac:dyDescent="0.3">
      <c r="A40" s="5" t="s">
        <v>118</v>
      </c>
      <c r="B40" s="11" t="s">
        <v>106</v>
      </c>
    </row>
    <row r="41" spans="1:2" ht="16.5" x14ac:dyDescent="0.3">
      <c r="A41" s="7" t="s">
        <v>118</v>
      </c>
      <c r="B41" s="13" t="s">
        <v>107</v>
      </c>
    </row>
    <row r="42" spans="1:2" ht="16.5" x14ac:dyDescent="0.3">
      <c r="A42" s="7" t="s">
        <v>118</v>
      </c>
      <c r="B42" s="13" t="s">
        <v>108</v>
      </c>
    </row>
    <row r="43" spans="1:2" ht="16.5" x14ac:dyDescent="0.3">
      <c r="A43" s="7" t="s">
        <v>118</v>
      </c>
      <c r="B43" s="13" t="s">
        <v>109</v>
      </c>
    </row>
    <row r="44" spans="1:2" ht="16.5" x14ac:dyDescent="0.3">
      <c r="A44" s="9" t="s">
        <v>118</v>
      </c>
      <c r="B44" s="15" t="s">
        <v>110</v>
      </c>
    </row>
    <row r="45" spans="1:2" ht="16.5" x14ac:dyDescent="0.3">
      <c r="A45" s="5" t="s">
        <v>118</v>
      </c>
      <c r="B45" s="11" t="s">
        <v>111</v>
      </c>
    </row>
    <row r="46" spans="1:2" ht="16.5" x14ac:dyDescent="0.3">
      <c r="A46" s="5" t="s">
        <v>118</v>
      </c>
      <c r="B46" s="11" t="s">
        <v>112</v>
      </c>
    </row>
    <row r="47" spans="1:2" ht="16.5" x14ac:dyDescent="0.3">
      <c r="A47" s="5" t="s">
        <v>118</v>
      </c>
      <c r="B47" s="11" t="s">
        <v>113</v>
      </c>
    </row>
    <row r="48" spans="1:2" ht="16.5" x14ac:dyDescent="0.3">
      <c r="A48" s="8" t="s">
        <v>118</v>
      </c>
      <c r="B48" s="16" t="s">
        <v>114</v>
      </c>
    </row>
    <row r="49" spans="1:2" ht="16.5" x14ac:dyDescent="0.3">
      <c r="A49" s="6" t="s">
        <v>118</v>
      </c>
      <c r="B49" s="11" t="s">
        <v>115</v>
      </c>
    </row>
    <row r="50" spans="1:2" ht="16.5" x14ac:dyDescent="0.3">
      <c r="A50" s="5" t="s">
        <v>118</v>
      </c>
      <c r="B50" s="11" t="s">
        <v>116</v>
      </c>
    </row>
  </sheetData>
  <autoFilter ref="A1:B1" xr:uid="{0520B443-C7E2-4877-862E-BEF6BEEB5D1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Shirly Banessa Mazo Guiral</dc:creator>
  <cp:lastModifiedBy>Analista Red 11</cp:lastModifiedBy>
  <dcterms:created xsi:type="dcterms:W3CDTF">2025-01-27T11:25:25Z</dcterms:created>
  <dcterms:modified xsi:type="dcterms:W3CDTF">2025-12-18T13:33:19Z</dcterms:modified>
</cp:coreProperties>
</file>